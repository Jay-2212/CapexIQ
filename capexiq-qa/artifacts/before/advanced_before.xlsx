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nthly" state="visible" r:id="rId5"/>
    <sheet sheetId="3" name="Annual Summary" state="visible" r:id="rId6"/>
    <sheet sheetId="4" name="Break-even Analysis" state="visible" r:id="rId7"/>
    <sheet sheetId="5" name="Maintenance Schedule" state="visible" r:id="rId8"/>
    <sheet sheetId="6" name="Charts" state="visible" r:id="rId9"/>
    <sheet sheetId="7" name="Formula Notes" state="visible" r:id="rId10"/>
  </sheets>
  <calcPr calcId="171027"/>
</workbook>
</file>

<file path=xl/sharedStrings.xml><?xml version="1.0" encoding="utf-8"?>
<sst xmlns="http://schemas.openxmlformats.org/spreadsheetml/2006/main" count="111" uniqueCount="97">
  <si>
    <t>CapexIQ — Assumptions</t>
  </si>
  <si>
    <t>Purchase cost</t>
  </si>
  <si>
    <t>Installation cost</t>
  </si>
  <si>
    <t>Initial investment</t>
  </si>
  <si>
    <t>Usage per day</t>
  </si>
  <si>
    <t>Working days per month</t>
  </si>
  <si>
    <t>Variable cost per use</t>
  </si>
  <si>
    <t>Fixed cost per month</t>
  </si>
  <si>
    <t>Useful life (years)</t>
  </si>
  <si>
    <t>Discount rate (%)</t>
  </si>
  <si>
    <t>Salvage value (%)</t>
  </si>
  <si>
    <t>Financing type</t>
  </si>
  <si>
    <t>Loan</t>
  </si>
  <si>
    <t>Loan down payment</t>
  </si>
  <si>
    <t>Loan interest rate (%)</t>
  </si>
  <si>
    <t>Loan/lease tenure (months)</t>
  </si>
  <si>
    <t>Lease rental per month</t>
  </si>
  <si>
    <t>Warranty years</t>
  </si>
  <si>
    <t>CMC years</t>
  </si>
  <si>
    <t>CMC annual cost</t>
  </si>
  <si>
    <t>AMC annual cost</t>
  </si>
  <si>
    <t>Ramp: months 1-3 (%)</t>
  </si>
  <si>
    <t>Ramp: months 4-6 (%)</t>
  </si>
  <si>
    <t>Ramp: months 7-12 (%)</t>
  </si>
  <si>
    <t>Ramp: year 2+ (%)</t>
  </si>
  <si>
    <t>Payer mix</t>
  </si>
  <si>
    <t>Payer</t>
  </si>
  <si>
    <t>Share of volume %</t>
  </si>
  <si>
    <t>Billed tariff (₹)</t>
  </si>
  <si>
    <t>Realization % (post-deduction)</t>
  </si>
  <si>
    <t>Collection delay (days)</t>
  </si>
  <si>
    <t>Private cash</t>
  </si>
  <si>
    <t>Insurance / TPA</t>
  </si>
  <si>
    <t>Corporate credit</t>
  </si>
  <si>
    <t>PM-JAY / government</t>
  </si>
  <si>
    <t>Other</t>
  </si>
  <si>
    <t>Billed per use (weighted)</t>
  </si>
  <si>
    <t>Realized revenue per use</t>
  </si>
  <si>
    <t>Maintenance overrides (%, blank = use standard schedule)</t>
  </si>
  <si>
    <t>Year 1 override</t>
  </si>
  <si>
    <t>Year 2 override</t>
  </si>
  <si>
    <t>Year 3 override</t>
  </si>
  <si>
    <t>Year 4 override</t>
  </si>
  <si>
    <t>Year 5 override</t>
  </si>
  <si>
    <t>Year 6 override</t>
  </si>
  <si>
    <t>Year 7 override</t>
  </si>
  <si>
    <t>Year 8 override</t>
  </si>
  <si>
    <t>Year 9 override</t>
  </si>
  <si>
    <t>Year 10 override</t>
  </si>
  <si>
    <t>Year 11 override</t>
  </si>
  <si>
    <t>Year 12 override</t>
  </si>
  <si>
    <t>Year 13 override</t>
  </si>
  <si>
    <t>Month #</t>
  </si>
  <si>
    <t>Year #</t>
  </si>
  <si>
    <t>Billed revenue</t>
  </si>
  <si>
    <t>Ramp %</t>
  </si>
  <si>
    <t>Realized revenue</t>
  </si>
  <si>
    <t>Variable cost</t>
  </si>
  <si>
    <t>Fixed cost</t>
  </si>
  <si>
    <t>Maintenance cost</t>
  </si>
  <si>
    <t>EMI / lease</t>
  </si>
  <si>
    <t>Net cash flow after financing</t>
  </si>
  <si>
    <t>Cash received — Private cash</t>
  </si>
  <si>
    <t>Cash received — Insurance / TPA</t>
  </si>
  <si>
    <t>Cash received — Corporate credit</t>
  </si>
  <si>
    <t>Cash received — PM-JAY / government</t>
  </si>
  <si>
    <t>Cash received — Other</t>
  </si>
  <si>
    <t>Cash received — Total</t>
  </si>
  <si>
    <t>Monthly payment (EMI/lease)</t>
  </si>
  <si>
    <t>Year</t>
  </si>
  <si>
    <t>Operating cost</t>
  </si>
  <si>
    <t>Cumulative cash position</t>
  </si>
  <si>
    <t>NPV</t>
  </si>
  <si>
    <t>IRR</t>
  </si>
  <si>
    <t>Contribution per use</t>
  </si>
  <si>
    <t>Expected usage per day</t>
  </si>
  <si>
    <t>Break-even usage per day</t>
  </si>
  <si>
    <t>Clears break-even</t>
  </si>
  <si>
    <t>Coverage</t>
  </si>
  <si>
    <t>Annual cost</t>
  </si>
  <si>
    <t>Formula</t>
  </si>
  <si>
    <t>Description</t>
  </si>
  <si>
    <t>Billed monthly revenue</t>
  </si>
  <si>
    <t>Usage per day x Average billed revenue per use x Working days per month x Ramp % (same ramp as realized revenue)</t>
  </si>
  <si>
    <t>Volume-weighted average across payer types of (share % x tariff x realization %)</t>
  </si>
  <si>
    <t>Realized revenue per use - Variable cost per use</t>
  </si>
  <si>
    <t>Fixed monthly cost / Contribution per use / Working days per month</t>
  </si>
  <si>
    <t>Maintenance schedule</t>
  </si>
  <si>
    <t>Warranty (0 cost) -&gt; CMC (flat annual cost) -&gt; AMC (flat annual cost), by year</t>
  </si>
  <si>
    <t>EMI (loan)</t>
  </si>
  <si>
    <t>Standard amortizing-loan formula; Excel's native PMT function</t>
  </si>
  <si>
    <t>Sum of discounted cash flows minus the initial investment; Excel's native NPV function</t>
  </si>
  <si>
    <t>The discount rate at which NPV = 0; Excel's native IRR function</t>
  </si>
  <si>
    <t>Cash received by month</t>
  </si>
  <si>
    <t>Each payer's share of a month's realized revenue collected ceil(days-to-collect / 30) months later</t>
  </si>
  <si>
    <t>Monthly tab vs. dashboard headline figures</t>
  </si>
  <si>
    <t>The Monthly tab's Billed/Realized revenue ramp up month by month per the Ramp % column above. The CapexIQ dashboard's own monthly revenue and ROI figures are shown at mature (fully ramped-up) utilization, so they will match this tab's later, fully-ramped months rather than month 1 whenever a utilization ramp is set. NPV/IRR here and on the dashboard both already account for the ramp-up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</si>
</sst>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cols>
    <col min="1" max="1" width="26" customWidth="1"/>
    <col min="2" max="16" width="16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>
        <v>65000000</v>
      </c>
    </row>
    <row r="3" spans="1:2" x14ac:dyDescent="0.25">
      <c r="A3" t="s">
        <v>2</v>
      </c>
      <c r="B3">
        <v>7500000</v>
      </c>
    </row>
    <row r="4" spans="1:2" x14ac:dyDescent="0.25">
      <c r="A4" t="s">
        <v>3</v>
      </c>
      <c r="B4">
        <f>$B$2+$B$3</f>
      </c>
    </row>
    <row r="5" spans="1:2" x14ac:dyDescent="0.25">
      <c r="A5" t="s">
        <v>4</v>
      </c>
      <c r="B5">
        <v>25</v>
      </c>
    </row>
    <row r="6" spans="1:2" x14ac:dyDescent="0.25">
      <c r="A6" t="s">
        <v>5</v>
      </c>
      <c r="B6">
        <v>25</v>
      </c>
    </row>
    <row r="7" spans="1:2" x14ac:dyDescent="0.25">
      <c r="A7" t="s">
        <v>6</v>
      </c>
      <c r="B7">
        <v>3350</v>
      </c>
    </row>
    <row r="8" spans="1:2" x14ac:dyDescent="0.25">
      <c r="A8" t="s">
        <v>7</v>
      </c>
      <c r="B8">
        <v>675000</v>
      </c>
    </row>
    <row r="9" spans="1:2" x14ac:dyDescent="0.25">
      <c r="A9" t="s">
        <v>8</v>
      </c>
      <c r="B9">
        <v>13</v>
      </c>
    </row>
    <row r="10" spans="1:2" x14ac:dyDescent="0.25">
      <c r="A10" t="s">
        <v>9</v>
      </c>
      <c r="B10">
        <v>12.5</v>
      </c>
    </row>
    <row r="11" spans="1:2" x14ac:dyDescent="0.25">
      <c r="A11" t="s">
        <v>10</v>
      </c>
      <c r="B11">
        <v>5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13</v>
      </c>
      <c r="B13">
        <v>12500000</v>
      </c>
    </row>
    <row r="14" spans="1:2" x14ac:dyDescent="0.25">
      <c r="A14" t="s">
        <v>14</v>
      </c>
      <c r="B14">
        <v>11.5</v>
      </c>
    </row>
    <row r="15" spans="1:2" x14ac:dyDescent="0.25">
      <c r="A15" t="s">
        <v>15</v>
      </c>
      <c r="B15">
        <v>60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5</v>
      </c>
    </row>
    <row r="18" spans="1:2" x14ac:dyDescent="0.25">
      <c r="A18" t="s">
        <v>18</v>
      </c>
      <c r="B18">
        <v>3</v>
      </c>
    </row>
    <row r="19" spans="1:2" x14ac:dyDescent="0.25">
      <c r="A19" t="s">
        <v>19</v>
      </c>
      <c r="B19">
        <v>4225000</v>
      </c>
    </row>
    <row r="20" spans="1:2" x14ac:dyDescent="0.25">
      <c r="A20" t="s">
        <v>20</v>
      </c>
      <c r="B20">
        <v>1462500</v>
      </c>
    </row>
    <row r="21" spans="1:2" x14ac:dyDescent="0.25">
      <c r="A21" t="s">
        <v>21</v>
      </c>
      <c r="B21">
        <v>50</v>
      </c>
    </row>
    <row r="22" spans="1:2" x14ac:dyDescent="0.25">
      <c r="A22" t="s">
        <v>22</v>
      </c>
      <c r="B22">
        <v>70</v>
      </c>
    </row>
    <row r="23" spans="1:2" x14ac:dyDescent="0.25">
      <c r="A23" t="s">
        <v>23</v>
      </c>
      <c r="B23">
        <v>85</v>
      </c>
    </row>
    <row r="24" spans="1:2" x14ac:dyDescent="0.25">
      <c r="A24" t="s">
        <v>24</v>
      </c>
      <c r="B24">
        <v>100</v>
      </c>
    </row>
    <row r="25" spans="1:1" x14ac:dyDescent="0.25">
      <c r="A25" t="s">
        <v>25</v>
      </c>
    </row>
    <row r="26" spans="1:5" x14ac:dyDescent="0.25">
      <c r="A26" t="s">
        <v>26</v>
      </c>
      <c r="B26" t="s">
        <v>27</v>
      </c>
      <c r="C26" t="s">
        <v>28</v>
      </c>
      <c r="D26" t="s">
        <v>29</v>
      </c>
      <c r="E26" t="s">
        <v>30</v>
      </c>
    </row>
    <row r="27" spans="1:5" x14ac:dyDescent="0.25">
      <c r="A27" t="s">
        <v>31</v>
      </c>
      <c r="B27">
        <v>55</v>
      </c>
      <c r="C27">
        <v>8500</v>
      </c>
      <c r="D27">
        <v>96.03999999999999</v>
      </c>
      <c r="E27">
        <v>7</v>
      </c>
    </row>
    <row r="28" spans="1:5" x14ac:dyDescent="0.25">
      <c r="A28" t="s">
        <v>32</v>
      </c>
      <c r="B28">
        <v>25</v>
      </c>
      <c r="C28">
        <v>7800</v>
      </c>
      <c r="D28">
        <v>77.44</v>
      </c>
      <c r="E28">
        <v>45</v>
      </c>
    </row>
    <row r="29" spans="1:5" x14ac:dyDescent="0.25">
      <c r="A29" t="s">
        <v>33</v>
      </c>
      <c r="B29">
        <v>10</v>
      </c>
      <c r="C29">
        <v>8200</v>
      </c>
      <c r="D29">
        <v>84.64</v>
      </c>
      <c r="E29">
        <v>30</v>
      </c>
    </row>
    <row r="30" spans="1:5" x14ac:dyDescent="0.25">
      <c r="A30" t="s">
        <v>34</v>
      </c>
      <c r="B30">
        <v>10</v>
      </c>
      <c r="C30">
        <v>6500</v>
      </c>
      <c r="D30">
        <v>72.25</v>
      </c>
      <c r="E30">
        <v>60</v>
      </c>
    </row>
    <row r="31" spans="1:5" x14ac:dyDescent="0.25">
      <c r="A31" t="s">
        <v>35</v>
      </c>
      <c r="B31">
        <v>0</v>
      </c>
      <c r="C31">
        <v>8500</v>
      </c>
      <c r="D31">
        <v>100</v>
      </c>
      <c r="E31">
        <v>0</v>
      </c>
    </row>
    <row r="32" spans="1:2" x14ac:dyDescent="0.25">
      <c r="A32" t="s">
        <v>36</v>
      </c>
      <c r="B32">
        <f>SUMPRODUCT($B$27:$B$31,$C$27:$C$31)/100</f>
      </c>
    </row>
    <row r="33" spans="1:2" x14ac:dyDescent="0.25">
      <c r="A33" t="s">
        <v>37</v>
      </c>
      <c r="B33">
        <f>SUMPRODUCT($B$27:$B$31,$C$27:$C$31,$D$27:$D$31)/10000</f>
      </c>
    </row>
    <row r="34" spans="1:1" x14ac:dyDescent="0.25">
      <c r="A34" t="s">
        <v>38</v>
      </c>
    </row>
    <row r="35" spans="1:2" x14ac:dyDescent="0.25">
      <c r="A35" t="s">
        <v>39</v>
      </c>
      <c r="B35">
        <v>0</v>
      </c>
    </row>
    <row r="36" spans="1:2" x14ac:dyDescent="0.25">
      <c r="A36" t="s">
        <v>40</v>
      </c>
      <c r="B36">
        <v>0</v>
      </c>
    </row>
    <row r="37" spans="1:2" x14ac:dyDescent="0.25">
      <c r="A37" t="s">
        <v>41</v>
      </c>
      <c r="B37">
        <v>0</v>
      </c>
    </row>
    <row r="38" spans="1:2" x14ac:dyDescent="0.25">
      <c r="A38" t="s">
        <v>42</v>
      </c>
      <c r="B38">
        <v>0</v>
      </c>
    </row>
    <row r="39" spans="1:2" x14ac:dyDescent="0.25">
      <c r="A39" t="s">
        <v>43</v>
      </c>
      <c r="B39">
        <v>0</v>
      </c>
    </row>
    <row r="40" spans="1:2" x14ac:dyDescent="0.25">
      <c r="A40" t="s">
        <v>44</v>
      </c>
      <c r="B40">
        <v>6.5</v>
      </c>
    </row>
    <row r="41" spans="1:2" x14ac:dyDescent="0.25">
      <c r="A41" t="s">
        <v>45</v>
      </c>
      <c r="B41">
        <v>6.5</v>
      </c>
    </row>
    <row r="42" spans="1:2" x14ac:dyDescent="0.25">
      <c r="A42" t="s">
        <v>46</v>
      </c>
      <c r="B42">
        <v>6.5</v>
      </c>
    </row>
    <row r="43" spans="1:2" x14ac:dyDescent="0.25">
      <c r="A43" t="s">
        <v>47</v>
      </c>
      <c r="B43">
        <v>7</v>
      </c>
    </row>
    <row r="44" spans="1:2" x14ac:dyDescent="0.25">
      <c r="A44" t="s">
        <v>48</v>
      </c>
      <c r="B44">
        <v>7</v>
      </c>
    </row>
    <row r="45" spans="1:2" x14ac:dyDescent="0.25">
      <c r="A45" t="s">
        <v>49</v>
      </c>
      <c r="B45">
        <v>7</v>
      </c>
    </row>
    <row r="46" spans="1:2" x14ac:dyDescent="0.25">
      <c r="A46" t="s">
        <v>50</v>
      </c>
      <c r="B46">
        <v>7.5</v>
      </c>
    </row>
    <row r="47" spans="1:2" x14ac:dyDescent="0.25">
      <c r="A47" t="s">
        <v>51</v>
      </c>
      <c r="B47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9"/>
  <sheetFormatPr defaultRowHeight="15" outlineLevelRow="0" outlineLevelCol="0" x14ac:dyDescent="55"/>
  <cols>
    <col min="1" max="1" width="26" customWidth="1"/>
    <col min="2" max="16" width="16" customWidth="1"/>
  </cols>
  <sheetData>
    <row r="1" spans="1:19" s="1" customFormat="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R1" s="1" t="s">
        <v>68</v>
      </c>
      <c r="S1" s="1">
        <f>IF(Assumptions!$B$12="Loan",-PMT(Assumptions!$B$14/12/100,Assumptions!$B$15,Assumptions!$B$4-Assumptions!$B$13),IF(Assumptions!$B$12="Lease",Assumptions!$B$16,0))</f>
      </c>
    </row>
    <row r="2" spans="1:16" x14ac:dyDescent="0.25">
      <c r="A2">
        <v>1</v>
      </c>
      <c r="B2">
        <v>1</v>
      </c>
      <c r="C2">
        <f>Assumptions!$B$5*Assumptions!$B$32*Assumptions!$B$6*D2</f>
      </c>
      <c r="D2">
        <f>IF(A2&lt;=3,Assumptions!$B$21,IF(A2&lt;=6,Assumptions!$B$22,IF(A2&lt;=12,Assumptions!$B$23,Assumptions!$B$24)))/100</f>
      </c>
      <c r="E2">
        <f>Assumptions!$B$5*Assumptions!$B$33*Assumptions!$B$6*D2</f>
      </c>
      <c r="F2">
        <f>Assumptions!$B$5*Assumptions!$B$7*Assumptions!$B$6*D2</f>
      </c>
      <c r="G2">
        <f>Assumptions!$B$8</f>
      </c>
      <c r="H2">
        <f>IF(INDEX(Assumptions!$B$35:$B$47,B2)&lt;&gt;"",INDEX(Assumptions!$B$35:$B$47,B2)/100*Assumptions!$B$2,IF(B2&lt;=Assumptions!$B$17,0,IF(B2&lt;=Assumptions!$B$17+Assumptions!$B$18,Assumptions!$B$19,Assumptions!$B$20)))/12</f>
      </c>
      <c r="I2">
        <f>IF(Assumptions!$B$12="Cash",0,IF(A2&lt;=Assumptions!$B$15,Monthly!$S$1,0))</f>
      </c>
      <c r="J2">
        <f>E2-F2-G2-H2-I2</f>
      </c>
      <c r="K2">
        <f>IF(AND(A2-CEILING(Assumptions!$E$27/30,1)&gt;=1,A2-CEILING(Assumptions!$E$27/30,1)&lt;=156),INDEX($E$2:$E$157,A2-CEILING(Assumptions!$E$27/30,1))*Assumptions!$B$27/100,0)</f>
      </c>
      <c r="L2">
        <f>IF(AND(A2-CEILING(Assumptions!$E$28/30,1)&gt;=1,A2-CEILING(Assumptions!$E$28/30,1)&lt;=156),INDEX($E$2:$E$157,A2-CEILING(Assumptions!$E$28/30,1))*Assumptions!$B$28/100,0)</f>
      </c>
      <c r="M2">
        <f>IF(AND(A2-CEILING(Assumptions!$E$29/30,1)&gt;=1,A2-CEILING(Assumptions!$E$29/30,1)&lt;=156),INDEX($E$2:$E$157,A2-CEILING(Assumptions!$E$29/30,1))*Assumptions!$B$29/100,0)</f>
      </c>
      <c r="N2">
        <f>IF(AND(A2-CEILING(Assumptions!$E$30/30,1)&gt;=1,A2-CEILING(Assumptions!$E$30/30,1)&lt;=156),INDEX($E$2:$E$157,A2-CEILING(Assumptions!$E$30/30,1))*Assumptions!$B$30/100,0)</f>
      </c>
      <c r="O2">
        <f>IF(AND(A2-CEILING(Assumptions!$E$31/30,1)&gt;=1,A2-CEILING(Assumptions!$E$31/30,1)&lt;=156),INDEX($E$2:$E$157,A2-CEILING(Assumptions!$E$31/30,1))*Assumptions!$B$31/100,0)</f>
      </c>
      <c r="P2">
        <f>K2+L2+M2+N2+O2</f>
      </c>
    </row>
    <row r="3" spans="1:16" x14ac:dyDescent="0.25">
      <c r="A3">
        <v>2</v>
      </c>
      <c r="B3">
        <v>1</v>
      </c>
      <c r="C3">
        <f>Assumptions!$B$5*Assumptions!$B$32*Assumptions!$B$6*D3</f>
      </c>
      <c r="D3">
        <f>IF(A3&lt;=3,Assumptions!$B$21,IF(A3&lt;=6,Assumptions!$B$22,IF(A3&lt;=12,Assumptions!$B$23,Assumptions!$B$24)))/100</f>
      </c>
      <c r="E3">
        <f>Assumptions!$B$5*Assumptions!$B$33*Assumptions!$B$6*D3</f>
      </c>
      <c r="F3">
        <f>Assumptions!$B$5*Assumptions!$B$7*Assumptions!$B$6*D3</f>
      </c>
      <c r="G3">
        <f>Assumptions!$B$8</f>
      </c>
      <c r="H3">
        <f>IF(INDEX(Assumptions!$B$35:$B$47,B3)&lt;&gt;"",INDEX(Assumptions!$B$35:$B$47,B3)/100*Assumptions!$B$2,IF(B3&lt;=Assumptions!$B$17,0,IF(B3&lt;=Assumptions!$B$17+Assumptions!$B$18,Assumptions!$B$19,Assumptions!$B$20)))/12</f>
      </c>
      <c r="I3">
        <f>IF(Assumptions!$B$12="Cash",0,IF(A3&lt;=Assumptions!$B$15,Monthly!$S$1,0))</f>
      </c>
      <c r="J3">
        <f>E3-F3-G3-H3-I3</f>
      </c>
      <c r="K3">
        <f>IF(AND(A3-CEILING(Assumptions!$E$27/30,1)&gt;=1,A3-CEILING(Assumptions!$E$27/30,1)&lt;=156),INDEX($E$2:$E$157,A3-CEILING(Assumptions!$E$27/30,1))*Assumptions!$B$27/100,0)</f>
      </c>
      <c r="L3">
        <f>IF(AND(A3-CEILING(Assumptions!$E$28/30,1)&gt;=1,A3-CEILING(Assumptions!$E$28/30,1)&lt;=156),INDEX($E$2:$E$157,A3-CEILING(Assumptions!$E$28/30,1))*Assumptions!$B$28/100,0)</f>
      </c>
      <c r="M3">
        <f>IF(AND(A3-CEILING(Assumptions!$E$29/30,1)&gt;=1,A3-CEILING(Assumptions!$E$29/30,1)&lt;=156),INDEX($E$2:$E$157,A3-CEILING(Assumptions!$E$29/30,1))*Assumptions!$B$29/100,0)</f>
      </c>
      <c r="N3">
        <f>IF(AND(A3-CEILING(Assumptions!$E$30/30,1)&gt;=1,A3-CEILING(Assumptions!$E$30/30,1)&lt;=156),INDEX($E$2:$E$157,A3-CEILING(Assumptions!$E$30/30,1))*Assumptions!$B$30/100,0)</f>
      </c>
      <c r="O3">
        <f>IF(AND(A3-CEILING(Assumptions!$E$31/30,1)&gt;=1,A3-CEILING(Assumptions!$E$31/30,1)&lt;=156),INDEX($E$2:$E$157,A3-CEILING(Assumptions!$E$31/30,1))*Assumptions!$B$31/100,0)</f>
      </c>
      <c r="P3">
        <f>K3+L3+M3+N3+O3</f>
      </c>
    </row>
    <row r="4" spans="1:16" x14ac:dyDescent="0.25">
      <c r="A4">
        <v>3</v>
      </c>
      <c r="B4">
        <v>1</v>
      </c>
      <c r="C4">
        <f>Assumptions!$B$5*Assumptions!$B$32*Assumptions!$B$6*D4</f>
      </c>
      <c r="D4">
        <f>IF(A4&lt;=3,Assumptions!$B$21,IF(A4&lt;=6,Assumptions!$B$22,IF(A4&lt;=12,Assumptions!$B$23,Assumptions!$B$24)))/100</f>
      </c>
      <c r="E4">
        <f>Assumptions!$B$5*Assumptions!$B$33*Assumptions!$B$6*D4</f>
      </c>
      <c r="F4">
        <f>Assumptions!$B$5*Assumptions!$B$7*Assumptions!$B$6*D4</f>
      </c>
      <c r="G4">
        <f>Assumptions!$B$8</f>
      </c>
      <c r="H4">
        <f>IF(INDEX(Assumptions!$B$35:$B$47,B4)&lt;&gt;"",INDEX(Assumptions!$B$35:$B$47,B4)/100*Assumptions!$B$2,IF(B4&lt;=Assumptions!$B$17,0,IF(B4&lt;=Assumptions!$B$17+Assumptions!$B$18,Assumptions!$B$19,Assumptions!$B$20)))/12</f>
      </c>
      <c r="I4">
        <f>IF(Assumptions!$B$12="Cash",0,IF(A4&lt;=Assumptions!$B$15,Monthly!$S$1,0))</f>
      </c>
      <c r="J4">
        <f>E4-F4-G4-H4-I4</f>
      </c>
      <c r="K4">
        <f>IF(AND(A4-CEILING(Assumptions!$E$27/30,1)&gt;=1,A4-CEILING(Assumptions!$E$27/30,1)&lt;=156),INDEX($E$2:$E$157,A4-CEILING(Assumptions!$E$27/30,1))*Assumptions!$B$27/100,0)</f>
      </c>
      <c r="L4">
        <f>IF(AND(A4-CEILING(Assumptions!$E$28/30,1)&gt;=1,A4-CEILING(Assumptions!$E$28/30,1)&lt;=156),INDEX($E$2:$E$157,A4-CEILING(Assumptions!$E$28/30,1))*Assumptions!$B$28/100,0)</f>
      </c>
      <c r="M4">
        <f>IF(AND(A4-CEILING(Assumptions!$E$29/30,1)&gt;=1,A4-CEILING(Assumptions!$E$29/30,1)&lt;=156),INDEX($E$2:$E$157,A4-CEILING(Assumptions!$E$29/30,1))*Assumptions!$B$29/100,0)</f>
      </c>
      <c r="N4">
        <f>IF(AND(A4-CEILING(Assumptions!$E$30/30,1)&gt;=1,A4-CEILING(Assumptions!$E$30/30,1)&lt;=156),INDEX($E$2:$E$157,A4-CEILING(Assumptions!$E$30/30,1))*Assumptions!$B$30/100,0)</f>
      </c>
      <c r="O4">
        <f>IF(AND(A4-CEILING(Assumptions!$E$31/30,1)&gt;=1,A4-CEILING(Assumptions!$E$31/30,1)&lt;=156),INDEX($E$2:$E$157,A4-CEILING(Assumptions!$E$31/30,1))*Assumptions!$B$31/100,0)</f>
      </c>
      <c r="P4">
        <f>K4+L4+M4+N4+O4</f>
      </c>
    </row>
    <row r="5" spans="1:16" x14ac:dyDescent="0.25">
      <c r="A5">
        <v>4</v>
      </c>
      <c r="B5">
        <v>1</v>
      </c>
      <c r="C5">
        <f>Assumptions!$B$5*Assumptions!$B$32*Assumptions!$B$6*D5</f>
      </c>
      <c r="D5">
        <f>IF(A5&lt;=3,Assumptions!$B$21,IF(A5&lt;=6,Assumptions!$B$22,IF(A5&lt;=12,Assumptions!$B$23,Assumptions!$B$24)))/100</f>
      </c>
      <c r="E5">
        <f>Assumptions!$B$5*Assumptions!$B$33*Assumptions!$B$6*D5</f>
      </c>
      <c r="F5">
        <f>Assumptions!$B$5*Assumptions!$B$7*Assumptions!$B$6*D5</f>
      </c>
      <c r="G5">
        <f>Assumptions!$B$8</f>
      </c>
      <c r="H5">
        <f>IF(INDEX(Assumptions!$B$35:$B$47,B5)&lt;&gt;"",INDEX(Assumptions!$B$35:$B$47,B5)/100*Assumptions!$B$2,IF(B5&lt;=Assumptions!$B$17,0,IF(B5&lt;=Assumptions!$B$17+Assumptions!$B$18,Assumptions!$B$19,Assumptions!$B$20)))/12</f>
      </c>
      <c r="I5">
        <f>IF(Assumptions!$B$12="Cash",0,IF(A5&lt;=Assumptions!$B$15,Monthly!$S$1,0))</f>
      </c>
      <c r="J5">
        <f>E5-F5-G5-H5-I5</f>
      </c>
      <c r="K5">
        <f>IF(AND(A5-CEILING(Assumptions!$E$27/30,1)&gt;=1,A5-CEILING(Assumptions!$E$27/30,1)&lt;=156),INDEX($E$2:$E$157,A5-CEILING(Assumptions!$E$27/30,1))*Assumptions!$B$27/100,0)</f>
      </c>
      <c r="L5">
        <f>IF(AND(A5-CEILING(Assumptions!$E$28/30,1)&gt;=1,A5-CEILING(Assumptions!$E$28/30,1)&lt;=156),INDEX($E$2:$E$157,A5-CEILING(Assumptions!$E$28/30,1))*Assumptions!$B$28/100,0)</f>
      </c>
      <c r="M5">
        <f>IF(AND(A5-CEILING(Assumptions!$E$29/30,1)&gt;=1,A5-CEILING(Assumptions!$E$29/30,1)&lt;=156),INDEX($E$2:$E$157,A5-CEILING(Assumptions!$E$29/30,1))*Assumptions!$B$29/100,0)</f>
      </c>
      <c r="N5">
        <f>IF(AND(A5-CEILING(Assumptions!$E$30/30,1)&gt;=1,A5-CEILING(Assumptions!$E$30/30,1)&lt;=156),INDEX($E$2:$E$157,A5-CEILING(Assumptions!$E$30/30,1))*Assumptions!$B$30/100,0)</f>
      </c>
      <c r="O5">
        <f>IF(AND(A5-CEILING(Assumptions!$E$31/30,1)&gt;=1,A5-CEILING(Assumptions!$E$31/30,1)&lt;=156),INDEX($E$2:$E$157,A5-CEILING(Assumptions!$E$31/30,1))*Assumptions!$B$31/100,0)</f>
      </c>
      <c r="P5">
        <f>K5+L5+M5+N5+O5</f>
      </c>
    </row>
    <row r="6" spans="1:16" x14ac:dyDescent="0.25">
      <c r="A6">
        <v>5</v>
      </c>
      <c r="B6">
        <v>1</v>
      </c>
      <c r="C6">
        <f>Assumptions!$B$5*Assumptions!$B$32*Assumptions!$B$6*D6</f>
      </c>
      <c r="D6">
        <f>IF(A6&lt;=3,Assumptions!$B$21,IF(A6&lt;=6,Assumptions!$B$22,IF(A6&lt;=12,Assumptions!$B$23,Assumptions!$B$24)))/100</f>
      </c>
      <c r="E6">
        <f>Assumptions!$B$5*Assumptions!$B$33*Assumptions!$B$6*D6</f>
      </c>
      <c r="F6">
        <f>Assumptions!$B$5*Assumptions!$B$7*Assumptions!$B$6*D6</f>
      </c>
      <c r="G6">
        <f>Assumptions!$B$8</f>
      </c>
      <c r="H6">
        <f>IF(INDEX(Assumptions!$B$35:$B$47,B6)&lt;&gt;"",INDEX(Assumptions!$B$35:$B$47,B6)/100*Assumptions!$B$2,IF(B6&lt;=Assumptions!$B$17,0,IF(B6&lt;=Assumptions!$B$17+Assumptions!$B$18,Assumptions!$B$19,Assumptions!$B$20)))/12</f>
      </c>
      <c r="I6">
        <f>IF(Assumptions!$B$12="Cash",0,IF(A6&lt;=Assumptions!$B$15,Monthly!$S$1,0))</f>
      </c>
      <c r="J6">
        <f>E6-F6-G6-H6-I6</f>
      </c>
      <c r="K6">
        <f>IF(AND(A6-CEILING(Assumptions!$E$27/30,1)&gt;=1,A6-CEILING(Assumptions!$E$27/30,1)&lt;=156),INDEX($E$2:$E$157,A6-CEILING(Assumptions!$E$27/30,1))*Assumptions!$B$27/100,0)</f>
      </c>
      <c r="L6">
        <f>IF(AND(A6-CEILING(Assumptions!$E$28/30,1)&gt;=1,A6-CEILING(Assumptions!$E$28/30,1)&lt;=156),INDEX($E$2:$E$157,A6-CEILING(Assumptions!$E$28/30,1))*Assumptions!$B$28/100,0)</f>
      </c>
      <c r="M6">
        <f>IF(AND(A6-CEILING(Assumptions!$E$29/30,1)&gt;=1,A6-CEILING(Assumptions!$E$29/30,1)&lt;=156),INDEX($E$2:$E$157,A6-CEILING(Assumptions!$E$29/30,1))*Assumptions!$B$29/100,0)</f>
      </c>
      <c r="N6">
        <f>IF(AND(A6-CEILING(Assumptions!$E$30/30,1)&gt;=1,A6-CEILING(Assumptions!$E$30/30,1)&lt;=156),INDEX($E$2:$E$157,A6-CEILING(Assumptions!$E$30/30,1))*Assumptions!$B$30/100,0)</f>
      </c>
      <c r="O6">
        <f>IF(AND(A6-CEILING(Assumptions!$E$31/30,1)&gt;=1,A6-CEILING(Assumptions!$E$31/30,1)&lt;=156),INDEX($E$2:$E$157,A6-CEILING(Assumptions!$E$31/30,1))*Assumptions!$B$31/100,0)</f>
      </c>
      <c r="P6">
        <f>K6+L6+M6+N6+O6</f>
      </c>
    </row>
    <row r="7" spans="1:16" x14ac:dyDescent="0.25">
      <c r="A7">
        <v>6</v>
      </c>
      <c r="B7">
        <v>1</v>
      </c>
      <c r="C7">
        <f>Assumptions!$B$5*Assumptions!$B$32*Assumptions!$B$6*D7</f>
      </c>
      <c r="D7">
        <f>IF(A7&lt;=3,Assumptions!$B$21,IF(A7&lt;=6,Assumptions!$B$22,IF(A7&lt;=12,Assumptions!$B$23,Assumptions!$B$24)))/100</f>
      </c>
      <c r="E7">
        <f>Assumptions!$B$5*Assumptions!$B$33*Assumptions!$B$6*D7</f>
      </c>
      <c r="F7">
        <f>Assumptions!$B$5*Assumptions!$B$7*Assumptions!$B$6*D7</f>
      </c>
      <c r="G7">
        <f>Assumptions!$B$8</f>
      </c>
      <c r="H7">
        <f>IF(INDEX(Assumptions!$B$35:$B$47,B7)&lt;&gt;"",INDEX(Assumptions!$B$35:$B$47,B7)/100*Assumptions!$B$2,IF(B7&lt;=Assumptions!$B$17,0,IF(B7&lt;=Assumptions!$B$17+Assumptions!$B$18,Assumptions!$B$19,Assumptions!$B$20)))/12</f>
      </c>
      <c r="I7">
        <f>IF(Assumptions!$B$12="Cash",0,IF(A7&lt;=Assumptions!$B$15,Monthly!$S$1,0))</f>
      </c>
      <c r="J7">
        <f>E7-F7-G7-H7-I7</f>
      </c>
      <c r="K7">
        <f>IF(AND(A7-CEILING(Assumptions!$E$27/30,1)&gt;=1,A7-CEILING(Assumptions!$E$27/30,1)&lt;=156),INDEX($E$2:$E$157,A7-CEILING(Assumptions!$E$27/30,1))*Assumptions!$B$27/100,0)</f>
      </c>
      <c r="L7">
        <f>IF(AND(A7-CEILING(Assumptions!$E$28/30,1)&gt;=1,A7-CEILING(Assumptions!$E$28/30,1)&lt;=156),INDEX($E$2:$E$157,A7-CEILING(Assumptions!$E$28/30,1))*Assumptions!$B$28/100,0)</f>
      </c>
      <c r="M7">
        <f>IF(AND(A7-CEILING(Assumptions!$E$29/30,1)&gt;=1,A7-CEILING(Assumptions!$E$29/30,1)&lt;=156),INDEX($E$2:$E$157,A7-CEILING(Assumptions!$E$29/30,1))*Assumptions!$B$29/100,0)</f>
      </c>
      <c r="N7">
        <f>IF(AND(A7-CEILING(Assumptions!$E$30/30,1)&gt;=1,A7-CEILING(Assumptions!$E$30/30,1)&lt;=156),INDEX($E$2:$E$157,A7-CEILING(Assumptions!$E$30/30,1))*Assumptions!$B$30/100,0)</f>
      </c>
      <c r="O7">
        <f>IF(AND(A7-CEILING(Assumptions!$E$31/30,1)&gt;=1,A7-CEILING(Assumptions!$E$31/30,1)&lt;=156),INDEX($E$2:$E$157,A7-CEILING(Assumptions!$E$31/30,1))*Assumptions!$B$31/100,0)</f>
      </c>
      <c r="P7">
        <f>K7+L7+M7+N7+O7</f>
      </c>
    </row>
    <row r="8" spans="1:16" x14ac:dyDescent="0.25">
      <c r="A8">
        <v>7</v>
      </c>
      <c r="B8">
        <v>1</v>
      </c>
      <c r="C8">
        <f>Assumptions!$B$5*Assumptions!$B$32*Assumptions!$B$6*D8</f>
      </c>
      <c r="D8">
        <f>IF(A8&lt;=3,Assumptions!$B$21,IF(A8&lt;=6,Assumptions!$B$22,IF(A8&lt;=12,Assumptions!$B$23,Assumptions!$B$24)))/100</f>
      </c>
      <c r="E8">
        <f>Assumptions!$B$5*Assumptions!$B$33*Assumptions!$B$6*D8</f>
      </c>
      <c r="F8">
        <f>Assumptions!$B$5*Assumptions!$B$7*Assumptions!$B$6*D8</f>
      </c>
      <c r="G8">
        <f>Assumptions!$B$8</f>
      </c>
      <c r="H8">
        <f>IF(INDEX(Assumptions!$B$35:$B$47,B8)&lt;&gt;"",INDEX(Assumptions!$B$35:$B$47,B8)/100*Assumptions!$B$2,IF(B8&lt;=Assumptions!$B$17,0,IF(B8&lt;=Assumptions!$B$17+Assumptions!$B$18,Assumptions!$B$19,Assumptions!$B$20)))/12</f>
      </c>
      <c r="I8">
        <f>IF(Assumptions!$B$12="Cash",0,IF(A8&lt;=Assumptions!$B$15,Monthly!$S$1,0))</f>
      </c>
      <c r="J8">
        <f>E8-F8-G8-H8-I8</f>
      </c>
      <c r="K8">
        <f>IF(AND(A8-CEILING(Assumptions!$E$27/30,1)&gt;=1,A8-CEILING(Assumptions!$E$27/30,1)&lt;=156),INDEX($E$2:$E$157,A8-CEILING(Assumptions!$E$27/30,1))*Assumptions!$B$27/100,0)</f>
      </c>
      <c r="L8">
        <f>IF(AND(A8-CEILING(Assumptions!$E$28/30,1)&gt;=1,A8-CEILING(Assumptions!$E$28/30,1)&lt;=156),INDEX($E$2:$E$157,A8-CEILING(Assumptions!$E$28/30,1))*Assumptions!$B$28/100,0)</f>
      </c>
      <c r="M8">
        <f>IF(AND(A8-CEILING(Assumptions!$E$29/30,1)&gt;=1,A8-CEILING(Assumptions!$E$29/30,1)&lt;=156),INDEX($E$2:$E$157,A8-CEILING(Assumptions!$E$29/30,1))*Assumptions!$B$29/100,0)</f>
      </c>
      <c r="N8">
        <f>IF(AND(A8-CEILING(Assumptions!$E$30/30,1)&gt;=1,A8-CEILING(Assumptions!$E$30/30,1)&lt;=156),INDEX($E$2:$E$157,A8-CEILING(Assumptions!$E$30/30,1))*Assumptions!$B$30/100,0)</f>
      </c>
      <c r="O8">
        <f>IF(AND(A8-CEILING(Assumptions!$E$31/30,1)&gt;=1,A8-CEILING(Assumptions!$E$31/30,1)&lt;=156),INDEX($E$2:$E$157,A8-CEILING(Assumptions!$E$31/30,1))*Assumptions!$B$31/100,0)</f>
      </c>
      <c r="P8">
        <f>K8+L8+M8+N8+O8</f>
      </c>
    </row>
    <row r="9" spans="1:16" x14ac:dyDescent="0.25">
      <c r="A9">
        <v>8</v>
      </c>
      <c r="B9">
        <v>1</v>
      </c>
      <c r="C9">
        <f>Assumptions!$B$5*Assumptions!$B$32*Assumptions!$B$6*D9</f>
      </c>
      <c r="D9">
        <f>IF(A9&lt;=3,Assumptions!$B$21,IF(A9&lt;=6,Assumptions!$B$22,IF(A9&lt;=12,Assumptions!$B$23,Assumptions!$B$24)))/100</f>
      </c>
      <c r="E9">
        <f>Assumptions!$B$5*Assumptions!$B$33*Assumptions!$B$6*D9</f>
      </c>
      <c r="F9">
        <f>Assumptions!$B$5*Assumptions!$B$7*Assumptions!$B$6*D9</f>
      </c>
      <c r="G9">
        <f>Assumptions!$B$8</f>
      </c>
      <c r="H9">
        <f>IF(INDEX(Assumptions!$B$35:$B$47,B9)&lt;&gt;"",INDEX(Assumptions!$B$35:$B$47,B9)/100*Assumptions!$B$2,IF(B9&lt;=Assumptions!$B$17,0,IF(B9&lt;=Assumptions!$B$17+Assumptions!$B$18,Assumptions!$B$19,Assumptions!$B$20)))/12</f>
      </c>
      <c r="I9">
        <f>IF(Assumptions!$B$12="Cash",0,IF(A9&lt;=Assumptions!$B$15,Monthly!$S$1,0))</f>
      </c>
      <c r="J9">
        <f>E9-F9-G9-H9-I9</f>
      </c>
      <c r="K9">
        <f>IF(AND(A9-CEILING(Assumptions!$E$27/30,1)&gt;=1,A9-CEILING(Assumptions!$E$27/30,1)&lt;=156),INDEX($E$2:$E$157,A9-CEILING(Assumptions!$E$27/30,1))*Assumptions!$B$27/100,0)</f>
      </c>
      <c r="L9">
        <f>IF(AND(A9-CEILING(Assumptions!$E$28/30,1)&gt;=1,A9-CEILING(Assumptions!$E$28/30,1)&lt;=156),INDEX($E$2:$E$157,A9-CEILING(Assumptions!$E$28/30,1))*Assumptions!$B$28/100,0)</f>
      </c>
      <c r="M9">
        <f>IF(AND(A9-CEILING(Assumptions!$E$29/30,1)&gt;=1,A9-CEILING(Assumptions!$E$29/30,1)&lt;=156),INDEX($E$2:$E$157,A9-CEILING(Assumptions!$E$29/30,1))*Assumptions!$B$29/100,0)</f>
      </c>
      <c r="N9">
        <f>IF(AND(A9-CEILING(Assumptions!$E$30/30,1)&gt;=1,A9-CEILING(Assumptions!$E$30/30,1)&lt;=156),INDEX($E$2:$E$157,A9-CEILING(Assumptions!$E$30/30,1))*Assumptions!$B$30/100,0)</f>
      </c>
      <c r="O9">
        <f>IF(AND(A9-CEILING(Assumptions!$E$31/30,1)&gt;=1,A9-CEILING(Assumptions!$E$31/30,1)&lt;=156),INDEX($E$2:$E$157,A9-CEILING(Assumptions!$E$31/30,1))*Assumptions!$B$31/100,0)</f>
      </c>
      <c r="P9">
        <f>K9+L9+M9+N9+O9</f>
      </c>
    </row>
    <row r="10" spans="1:16" x14ac:dyDescent="0.25">
      <c r="A10">
        <v>9</v>
      </c>
      <c r="B10">
        <v>1</v>
      </c>
      <c r="C10">
        <f>Assumptions!$B$5*Assumptions!$B$32*Assumptions!$B$6*D10</f>
      </c>
      <c r="D10">
        <f>IF(A10&lt;=3,Assumptions!$B$21,IF(A10&lt;=6,Assumptions!$B$22,IF(A10&lt;=12,Assumptions!$B$23,Assumptions!$B$24)))/100</f>
      </c>
      <c r="E10">
        <f>Assumptions!$B$5*Assumptions!$B$33*Assumptions!$B$6*D10</f>
      </c>
      <c r="F10">
        <f>Assumptions!$B$5*Assumptions!$B$7*Assumptions!$B$6*D10</f>
      </c>
      <c r="G10">
        <f>Assumptions!$B$8</f>
      </c>
      <c r="H10">
        <f>IF(INDEX(Assumptions!$B$35:$B$47,B10)&lt;&gt;"",INDEX(Assumptions!$B$35:$B$47,B10)/100*Assumptions!$B$2,IF(B10&lt;=Assumptions!$B$17,0,IF(B10&lt;=Assumptions!$B$17+Assumptions!$B$18,Assumptions!$B$19,Assumptions!$B$20)))/12</f>
      </c>
      <c r="I10">
        <f>IF(Assumptions!$B$12="Cash",0,IF(A10&lt;=Assumptions!$B$15,Monthly!$S$1,0))</f>
      </c>
      <c r="J10">
        <f>E10-F10-G10-H10-I10</f>
      </c>
      <c r="K10">
        <f>IF(AND(A10-CEILING(Assumptions!$E$27/30,1)&gt;=1,A10-CEILING(Assumptions!$E$27/30,1)&lt;=156),INDEX($E$2:$E$157,A10-CEILING(Assumptions!$E$27/30,1))*Assumptions!$B$27/100,0)</f>
      </c>
      <c r="L10">
        <f>IF(AND(A10-CEILING(Assumptions!$E$28/30,1)&gt;=1,A10-CEILING(Assumptions!$E$28/30,1)&lt;=156),INDEX($E$2:$E$157,A10-CEILING(Assumptions!$E$28/30,1))*Assumptions!$B$28/100,0)</f>
      </c>
      <c r="M10">
        <f>IF(AND(A10-CEILING(Assumptions!$E$29/30,1)&gt;=1,A10-CEILING(Assumptions!$E$29/30,1)&lt;=156),INDEX($E$2:$E$157,A10-CEILING(Assumptions!$E$29/30,1))*Assumptions!$B$29/100,0)</f>
      </c>
      <c r="N10">
        <f>IF(AND(A10-CEILING(Assumptions!$E$30/30,1)&gt;=1,A10-CEILING(Assumptions!$E$30/30,1)&lt;=156),INDEX($E$2:$E$157,A10-CEILING(Assumptions!$E$30/30,1))*Assumptions!$B$30/100,0)</f>
      </c>
      <c r="O10">
        <f>IF(AND(A10-CEILING(Assumptions!$E$31/30,1)&gt;=1,A10-CEILING(Assumptions!$E$31/30,1)&lt;=156),INDEX($E$2:$E$157,A10-CEILING(Assumptions!$E$31/30,1))*Assumptions!$B$31/100,0)</f>
      </c>
      <c r="P10">
        <f>K10+L10+M10+N10+O10</f>
      </c>
    </row>
    <row r="11" spans="1:16" x14ac:dyDescent="0.25">
      <c r="A11">
        <v>10</v>
      </c>
      <c r="B11">
        <v>1</v>
      </c>
      <c r="C11">
        <f>Assumptions!$B$5*Assumptions!$B$32*Assumptions!$B$6*D11</f>
      </c>
      <c r="D11">
        <f>IF(A11&lt;=3,Assumptions!$B$21,IF(A11&lt;=6,Assumptions!$B$22,IF(A11&lt;=12,Assumptions!$B$23,Assumptions!$B$24)))/100</f>
      </c>
      <c r="E11">
        <f>Assumptions!$B$5*Assumptions!$B$33*Assumptions!$B$6*D11</f>
      </c>
      <c r="F11">
        <f>Assumptions!$B$5*Assumptions!$B$7*Assumptions!$B$6*D11</f>
      </c>
      <c r="G11">
        <f>Assumptions!$B$8</f>
      </c>
      <c r="H11">
        <f>IF(INDEX(Assumptions!$B$35:$B$47,B11)&lt;&gt;"",INDEX(Assumptions!$B$35:$B$47,B11)/100*Assumptions!$B$2,IF(B11&lt;=Assumptions!$B$17,0,IF(B11&lt;=Assumptions!$B$17+Assumptions!$B$18,Assumptions!$B$19,Assumptions!$B$20)))/12</f>
      </c>
      <c r="I11">
        <f>IF(Assumptions!$B$12="Cash",0,IF(A11&lt;=Assumptions!$B$15,Monthly!$S$1,0))</f>
      </c>
      <c r="J11">
        <f>E11-F11-G11-H11-I11</f>
      </c>
      <c r="K11">
        <f>IF(AND(A11-CEILING(Assumptions!$E$27/30,1)&gt;=1,A11-CEILING(Assumptions!$E$27/30,1)&lt;=156),INDEX($E$2:$E$157,A11-CEILING(Assumptions!$E$27/30,1))*Assumptions!$B$27/100,0)</f>
      </c>
      <c r="L11">
        <f>IF(AND(A11-CEILING(Assumptions!$E$28/30,1)&gt;=1,A11-CEILING(Assumptions!$E$28/30,1)&lt;=156),INDEX($E$2:$E$157,A11-CEILING(Assumptions!$E$28/30,1))*Assumptions!$B$28/100,0)</f>
      </c>
      <c r="M11">
        <f>IF(AND(A11-CEILING(Assumptions!$E$29/30,1)&gt;=1,A11-CEILING(Assumptions!$E$29/30,1)&lt;=156),INDEX($E$2:$E$157,A11-CEILING(Assumptions!$E$29/30,1))*Assumptions!$B$29/100,0)</f>
      </c>
      <c r="N11">
        <f>IF(AND(A11-CEILING(Assumptions!$E$30/30,1)&gt;=1,A11-CEILING(Assumptions!$E$30/30,1)&lt;=156),INDEX($E$2:$E$157,A11-CEILING(Assumptions!$E$30/30,1))*Assumptions!$B$30/100,0)</f>
      </c>
      <c r="O11">
        <f>IF(AND(A11-CEILING(Assumptions!$E$31/30,1)&gt;=1,A11-CEILING(Assumptions!$E$31/30,1)&lt;=156),INDEX($E$2:$E$157,A11-CEILING(Assumptions!$E$31/30,1))*Assumptions!$B$31/100,0)</f>
      </c>
      <c r="P11">
        <f>K11+L11+M11+N11+O11</f>
      </c>
    </row>
    <row r="12" spans="1:16" x14ac:dyDescent="0.25">
      <c r="A12">
        <v>11</v>
      </c>
      <c r="B12">
        <v>1</v>
      </c>
      <c r="C12">
        <f>Assumptions!$B$5*Assumptions!$B$32*Assumptions!$B$6*D12</f>
      </c>
      <c r="D12">
        <f>IF(A12&lt;=3,Assumptions!$B$21,IF(A12&lt;=6,Assumptions!$B$22,IF(A12&lt;=12,Assumptions!$B$23,Assumptions!$B$24)))/100</f>
      </c>
      <c r="E12">
        <f>Assumptions!$B$5*Assumptions!$B$33*Assumptions!$B$6*D12</f>
      </c>
      <c r="F12">
        <f>Assumptions!$B$5*Assumptions!$B$7*Assumptions!$B$6*D12</f>
      </c>
      <c r="G12">
        <f>Assumptions!$B$8</f>
      </c>
      <c r="H12">
        <f>IF(INDEX(Assumptions!$B$35:$B$47,B12)&lt;&gt;"",INDEX(Assumptions!$B$35:$B$47,B12)/100*Assumptions!$B$2,IF(B12&lt;=Assumptions!$B$17,0,IF(B12&lt;=Assumptions!$B$17+Assumptions!$B$18,Assumptions!$B$19,Assumptions!$B$20)))/12</f>
      </c>
      <c r="I12">
        <f>IF(Assumptions!$B$12="Cash",0,IF(A12&lt;=Assumptions!$B$15,Monthly!$S$1,0))</f>
      </c>
      <c r="J12">
        <f>E12-F12-G12-H12-I12</f>
      </c>
      <c r="K12">
        <f>IF(AND(A12-CEILING(Assumptions!$E$27/30,1)&gt;=1,A12-CEILING(Assumptions!$E$27/30,1)&lt;=156),INDEX($E$2:$E$157,A12-CEILING(Assumptions!$E$27/30,1))*Assumptions!$B$27/100,0)</f>
      </c>
      <c r="L12">
        <f>IF(AND(A12-CEILING(Assumptions!$E$28/30,1)&gt;=1,A12-CEILING(Assumptions!$E$28/30,1)&lt;=156),INDEX($E$2:$E$157,A12-CEILING(Assumptions!$E$28/30,1))*Assumptions!$B$28/100,0)</f>
      </c>
      <c r="M12">
        <f>IF(AND(A12-CEILING(Assumptions!$E$29/30,1)&gt;=1,A12-CEILING(Assumptions!$E$29/30,1)&lt;=156),INDEX($E$2:$E$157,A12-CEILING(Assumptions!$E$29/30,1))*Assumptions!$B$29/100,0)</f>
      </c>
      <c r="N12">
        <f>IF(AND(A12-CEILING(Assumptions!$E$30/30,1)&gt;=1,A12-CEILING(Assumptions!$E$30/30,1)&lt;=156),INDEX($E$2:$E$157,A12-CEILING(Assumptions!$E$30/30,1))*Assumptions!$B$30/100,0)</f>
      </c>
      <c r="O12">
        <f>IF(AND(A12-CEILING(Assumptions!$E$31/30,1)&gt;=1,A12-CEILING(Assumptions!$E$31/30,1)&lt;=156),INDEX($E$2:$E$157,A12-CEILING(Assumptions!$E$31/30,1))*Assumptions!$B$31/100,0)</f>
      </c>
      <c r="P12">
        <f>K12+L12+M12+N12+O12</f>
      </c>
    </row>
    <row r="13" spans="1:16" x14ac:dyDescent="0.25">
      <c r="A13">
        <v>12</v>
      </c>
      <c r="B13">
        <v>1</v>
      </c>
      <c r="C13">
        <f>Assumptions!$B$5*Assumptions!$B$32*Assumptions!$B$6*D13</f>
      </c>
      <c r="D13">
        <f>IF(A13&lt;=3,Assumptions!$B$21,IF(A13&lt;=6,Assumptions!$B$22,IF(A13&lt;=12,Assumptions!$B$23,Assumptions!$B$24)))/100</f>
      </c>
      <c r="E13">
        <f>Assumptions!$B$5*Assumptions!$B$33*Assumptions!$B$6*D13</f>
      </c>
      <c r="F13">
        <f>Assumptions!$B$5*Assumptions!$B$7*Assumptions!$B$6*D13</f>
      </c>
      <c r="G13">
        <f>Assumptions!$B$8</f>
      </c>
      <c r="H13">
        <f>IF(INDEX(Assumptions!$B$35:$B$47,B13)&lt;&gt;"",INDEX(Assumptions!$B$35:$B$47,B13)/100*Assumptions!$B$2,IF(B13&lt;=Assumptions!$B$17,0,IF(B13&lt;=Assumptions!$B$17+Assumptions!$B$18,Assumptions!$B$19,Assumptions!$B$20)))/12</f>
      </c>
      <c r="I13">
        <f>IF(Assumptions!$B$12="Cash",0,IF(A13&lt;=Assumptions!$B$15,Monthly!$S$1,0))</f>
      </c>
      <c r="J13">
        <f>E13-F13-G13-H13-I13</f>
      </c>
      <c r="K13">
        <f>IF(AND(A13-CEILING(Assumptions!$E$27/30,1)&gt;=1,A13-CEILING(Assumptions!$E$27/30,1)&lt;=156),INDEX($E$2:$E$157,A13-CEILING(Assumptions!$E$27/30,1))*Assumptions!$B$27/100,0)</f>
      </c>
      <c r="L13">
        <f>IF(AND(A13-CEILING(Assumptions!$E$28/30,1)&gt;=1,A13-CEILING(Assumptions!$E$28/30,1)&lt;=156),INDEX($E$2:$E$157,A13-CEILING(Assumptions!$E$28/30,1))*Assumptions!$B$28/100,0)</f>
      </c>
      <c r="M13">
        <f>IF(AND(A13-CEILING(Assumptions!$E$29/30,1)&gt;=1,A13-CEILING(Assumptions!$E$29/30,1)&lt;=156),INDEX($E$2:$E$157,A13-CEILING(Assumptions!$E$29/30,1))*Assumptions!$B$29/100,0)</f>
      </c>
      <c r="N13">
        <f>IF(AND(A13-CEILING(Assumptions!$E$30/30,1)&gt;=1,A13-CEILING(Assumptions!$E$30/30,1)&lt;=156),INDEX($E$2:$E$157,A13-CEILING(Assumptions!$E$30/30,1))*Assumptions!$B$30/100,0)</f>
      </c>
      <c r="O13">
        <f>IF(AND(A13-CEILING(Assumptions!$E$31/30,1)&gt;=1,A13-CEILING(Assumptions!$E$31/30,1)&lt;=156),INDEX($E$2:$E$157,A13-CEILING(Assumptions!$E$31/30,1))*Assumptions!$B$31/100,0)</f>
      </c>
      <c r="P13">
        <f>K13+L13+M13+N13+O13</f>
      </c>
    </row>
    <row r="14" spans="1:16" x14ac:dyDescent="0.25">
      <c r="A14">
        <v>13</v>
      </c>
      <c r="B14">
        <v>2</v>
      </c>
      <c r="C14">
        <f>Assumptions!$B$5*Assumptions!$B$32*Assumptions!$B$6*D14</f>
      </c>
      <c r="D14">
        <f>IF(A14&lt;=3,Assumptions!$B$21,IF(A14&lt;=6,Assumptions!$B$22,IF(A14&lt;=12,Assumptions!$B$23,Assumptions!$B$24)))/100</f>
      </c>
      <c r="E14">
        <f>Assumptions!$B$5*Assumptions!$B$33*Assumptions!$B$6*D14</f>
      </c>
      <c r="F14">
        <f>Assumptions!$B$5*Assumptions!$B$7*Assumptions!$B$6*D14</f>
      </c>
      <c r="G14">
        <f>Assumptions!$B$8</f>
      </c>
      <c r="H14">
        <f>IF(INDEX(Assumptions!$B$35:$B$47,B14)&lt;&gt;"",INDEX(Assumptions!$B$35:$B$47,B14)/100*Assumptions!$B$2,IF(B14&lt;=Assumptions!$B$17,0,IF(B14&lt;=Assumptions!$B$17+Assumptions!$B$18,Assumptions!$B$19,Assumptions!$B$20)))/12</f>
      </c>
      <c r="I14">
        <f>IF(Assumptions!$B$12="Cash",0,IF(A14&lt;=Assumptions!$B$15,Monthly!$S$1,0))</f>
      </c>
      <c r="J14">
        <f>E14-F14-G14-H14-I14</f>
      </c>
      <c r="K14">
        <f>IF(AND(A14-CEILING(Assumptions!$E$27/30,1)&gt;=1,A14-CEILING(Assumptions!$E$27/30,1)&lt;=156),INDEX($E$2:$E$157,A14-CEILING(Assumptions!$E$27/30,1))*Assumptions!$B$27/100,0)</f>
      </c>
      <c r="L14">
        <f>IF(AND(A14-CEILING(Assumptions!$E$28/30,1)&gt;=1,A14-CEILING(Assumptions!$E$28/30,1)&lt;=156),INDEX($E$2:$E$157,A14-CEILING(Assumptions!$E$28/30,1))*Assumptions!$B$28/100,0)</f>
      </c>
      <c r="M14">
        <f>IF(AND(A14-CEILING(Assumptions!$E$29/30,1)&gt;=1,A14-CEILING(Assumptions!$E$29/30,1)&lt;=156),INDEX($E$2:$E$157,A14-CEILING(Assumptions!$E$29/30,1))*Assumptions!$B$29/100,0)</f>
      </c>
      <c r="N14">
        <f>IF(AND(A14-CEILING(Assumptions!$E$30/30,1)&gt;=1,A14-CEILING(Assumptions!$E$30/30,1)&lt;=156),INDEX($E$2:$E$157,A14-CEILING(Assumptions!$E$30/30,1))*Assumptions!$B$30/100,0)</f>
      </c>
      <c r="O14">
        <f>IF(AND(A14-CEILING(Assumptions!$E$31/30,1)&gt;=1,A14-CEILING(Assumptions!$E$31/30,1)&lt;=156),INDEX($E$2:$E$157,A14-CEILING(Assumptions!$E$31/30,1))*Assumptions!$B$31/100,0)</f>
      </c>
      <c r="P14">
        <f>K14+L14+M14+N14+O14</f>
      </c>
    </row>
    <row r="15" spans="1:16" x14ac:dyDescent="0.25">
      <c r="A15">
        <v>14</v>
      </c>
      <c r="B15">
        <v>2</v>
      </c>
      <c r="C15">
        <f>Assumptions!$B$5*Assumptions!$B$32*Assumptions!$B$6*D15</f>
      </c>
      <c r="D15">
        <f>IF(A15&lt;=3,Assumptions!$B$21,IF(A15&lt;=6,Assumptions!$B$22,IF(A15&lt;=12,Assumptions!$B$23,Assumptions!$B$24)))/100</f>
      </c>
      <c r="E15">
        <f>Assumptions!$B$5*Assumptions!$B$33*Assumptions!$B$6*D15</f>
      </c>
      <c r="F15">
        <f>Assumptions!$B$5*Assumptions!$B$7*Assumptions!$B$6*D15</f>
      </c>
      <c r="G15">
        <f>Assumptions!$B$8</f>
      </c>
      <c r="H15">
        <f>IF(INDEX(Assumptions!$B$35:$B$47,B15)&lt;&gt;"",INDEX(Assumptions!$B$35:$B$47,B15)/100*Assumptions!$B$2,IF(B15&lt;=Assumptions!$B$17,0,IF(B15&lt;=Assumptions!$B$17+Assumptions!$B$18,Assumptions!$B$19,Assumptions!$B$20)))/12</f>
      </c>
      <c r="I15">
        <f>IF(Assumptions!$B$12="Cash",0,IF(A15&lt;=Assumptions!$B$15,Monthly!$S$1,0))</f>
      </c>
      <c r="J15">
        <f>E15-F15-G15-H15-I15</f>
      </c>
      <c r="K15">
        <f>IF(AND(A15-CEILING(Assumptions!$E$27/30,1)&gt;=1,A15-CEILING(Assumptions!$E$27/30,1)&lt;=156),INDEX($E$2:$E$157,A15-CEILING(Assumptions!$E$27/30,1))*Assumptions!$B$27/100,0)</f>
      </c>
      <c r="L15">
        <f>IF(AND(A15-CEILING(Assumptions!$E$28/30,1)&gt;=1,A15-CEILING(Assumptions!$E$28/30,1)&lt;=156),INDEX($E$2:$E$157,A15-CEILING(Assumptions!$E$28/30,1))*Assumptions!$B$28/100,0)</f>
      </c>
      <c r="M15">
        <f>IF(AND(A15-CEILING(Assumptions!$E$29/30,1)&gt;=1,A15-CEILING(Assumptions!$E$29/30,1)&lt;=156),INDEX($E$2:$E$157,A15-CEILING(Assumptions!$E$29/30,1))*Assumptions!$B$29/100,0)</f>
      </c>
      <c r="N15">
        <f>IF(AND(A15-CEILING(Assumptions!$E$30/30,1)&gt;=1,A15-CEILING(Assumptions!$E$30/30,1)&lt;=156),INDEX($E$2:$E$157,A15-CEILING(Assumptions!$E$30/30,1))*Assumptions!$B$30/100,0)</f>
      </c>
      <c r="O15">
        <f>IF(AND(A15-CEILING(Assumptions!$E$31/30,1)&gt;=1,A15-CEILING(Assumptions!$E$31/30,1)&lt;=156),INDEX($E$2:$E$157,A15-CEILING(Assumptions!$E$31/30,1))*Assumptions!$B$31/100,0)</f>
      </c>
      <c r="P15">
        <f>K15+L15+M15+N15+O15</f>
      </c>
    </row>
    <row r="16" spans="1:16" x14ac:dyDescent="0.25">
      <c r="A16">
        <v>15</v>
      </c>
      <c r="B16">
        <v>2</v>
      </c>
      <c r="C16">
        <f>Assumptions!$B$5*Assumptions!$B$32*Assumptions!$B$6*D16</f>
      </c>
      <c r="D16">
        <f>IF(A16&lt;=3,Assumptions!$B$21,IF(A16&lt;=6,Assumptions!$B$22,IF(A16&lt;=12,Assumptions!$B$23,Assumptions!$B$24)))/100</f>
      </c>
      <c r="E16">
        <f>Assumptions!$B$5*Assumptions!$B$33*Assumptions!$B$6*D16</f>
      </c>
      <c r="F16">
        <f>Assumptions!$B$5*Assumptions!$B$7*Assumptions!$B$6*D16</f>
      </c>
      <c r="G16">
        <f>Assumptions!$B$8</f>
      </c>
      <c r="H16">
        <f>IF(INDEX(Assumptions!$B$35:$B$47,B16)&lt;&gt;"",INDEX(Assumptions!$B$35:$B$47,B16)/100*Assumptions!$B$2,IF(B16&lt;=Assumptions!$B$17,0,IF(B16&lt;=Assumptions!$B$17+Assumptions!$B$18,Assumptions!$B$19,Assumptions!$B$20)))/12</f>
      </c>
      <c r="I16">
        <f>IF(Assumptions!$B$12="Cash",0,IF(A16&lt;=Assumptions!$B$15,Monthly!$S$1,0))</f>
      </c>
      <c r="J16">
        <f>E16-F16-G16-H16-I16</f>
      </c>
      <c r="K16">
        <f>IF(AND(A16-CEILING(Assumptions!$E$27/30,1)&gt;=1,A16-CEILING(Assumptions!$E$27/30,1)&lt;=156),INDEX($E$2:$E$157,A16-CEILING(Assumptions!$E$27/30,1))*Assumptions!$B$27/100,0)</f>
      </c>
      <c r="L16">
        <f>IF(AND(A16-CEILING(Assumptions!$E$28/30,1)&gt;=1,A16-CEILING(Assumptions!$E$28/30,1)&lt;=156),INDEX($E$2:$E$157,A16-CEILING(Assumptions!$E$28/30,1))*Assumptions!$B$28/100,0)</f>
      </c>
      <c r="M16">
        <f>IF(AND(A16-CEILING(Assumptions!$E$29/30,1)&gt;=1,A16-CEILING(Assumptions!$E$29/30,1)&lt;=156),INDEX($E$2:$E$157,A16-CEILING(Assumptions!$E$29/30,1))*Assumptions!$B$29/100,0)</f>
      </c>
      <c r="N16">
        <f>IF(AND(A16-CEILING(Assumptions!$E$30/30,1)&gt;=1,A16-CEILING(Assumptions!$E$30/30,1)&lt;=156),INDEX($E$2:$E$157,A16-CEILING(Assumptions!$E$30/30,1))*Assumptions!$B$30/100,0)</f>
      </c>
      <c r="O16">
        <f>IF(AND(A16-CEILING(Assumptions!$E$31/30,1)&gt;=1,A16-CEILING(Assumptions!$E$31/30,1)&lt;=156),INDEX($E$2:$E$157,A16-CEILING(Assumptions!$E$31/30,1))*Assumptions!$B$31/100,0)</f>
      </c>
      <c r="P16">
        <f>K16+L16+M16+N16+O16</f>
      </c>
    </row>
    <row r="17" spans="1:16" x14ac:dyDescent="0.25">
      <c r="A17">
        <v>16</v>
      </c>
      <c r="B17">
        <v>2</v>
      </c>
      <c r="C17">
        <f>Assumptions!$B$5*Assumptions!$B$32*Assumptions!$B$6*D17</f>
      </c>
      <c r="D17">
        <f>IF(A17&lt;=3,Assumptions!$B$21,IF(A17&lt;=6,Assumptions!$B$22,IF(A17&lt;=12,Assumptions!$B$23,Assumptions!$B$24)))/100</f>
      </c>
      <c r="E17">
        <f>Assumptions!$B$5*Assumptions!$B$33*Assumptions!$B$6*D17</f>
      </c>
      <c r="F17">
        <f>Assumptions!$B$5*Assumptions!$B$7*Assumptions!$B$6*D17</f>
      </c>
      <c r="G17">
        <f>Assumptions!$B$8</f>
      </c>
      <c r="H17">
        <f>IF(INDEX(Assumptions!$B$35:$B$47,B17)&lt;&gt;"",INDEX(Assumptions!$B$35:$B$47,B17)/100*Assumptions!$B$2,IF(B17&lt;=Assumptions!$B$17,0,IF(B17&lt;=Assumptions!$B$17+Assumptions!$B$18,Assumptions!$B$19,Assumptions!$B$20)))/12</f>
      </c>
      <c r="I17">
        <f>IF(Assumptions!$B$12="Cash",0,IF(A17&lt;=Assumptions!$B$15,Monthly!$S$1,0))</f>
      </c>
      <c r="J17">
        <f>E17-F17-G17-H17-I17</f>
      </c>
      <c r="K17">
        <f>IF(AND(A17-CEILING(Assumptions!$E$27/30,1)&gt;=1,A17-CEILING(Assumptions!$E$27/30,1)&lt;=156),INDEX($E$2:$E$157,A17-CEILING(Assumptions!$E$27/30,1))*Assumptions!$B$27/100,0)</f>
      </c>
      <c r="L17">
        <f>IF(AND(A17-CEILING(Assumptions!$E$28/30,1)&gt;=1,A17-CEILING(Assumptions!$E$28/30,1)&lt;=156),INDEX($E$2:$E$157,A17-CEILING(Assumptions!$E$28/30,1))*Assumptions!$B$28/100,0)</f>
      </c>
      <c r="M17">
        <f>IF(AND(A17-CEILING(Assumptions!$E$29/30,1)&gt;=1,A17-CEILING(Assumptions!$E$29/30,1)&lt;=156),INDEX($E$2:$E$157,A17-CEILING(Assumptions!$E$29/30,1))*Assumptions!$B$29/100,0)</f>
      </c>
      <c r="N17">
        <f>IF(AND(A17-CEILING(Assumptions!$E$30/30,1)&gt;=1,A17-CEILING(Assumptions!$E$30/30,1)&lt;=156),INDEX($E$2:$E$157,A17-CEILING(Assumptions!$E$30/30,1))*Assumptions!$B$30/100,0)</f>
      </c>
      <c r="O17">
        <f>IF(AND(A17-CEILING(Assumptions!$E$31/30,1)&gt;=1,A17-CEILING(Assumptions!$E$31/30,1)&lt;=156),INDEX($E$2:$E$157,A17-CEILING(Assumptions!$E$31/30,1))*Assumptions!$B$31/100,0)</f>
      </c>
      <c r="P17">
        <f>K17+L17+M17+N17+O17</f>
      </c>
    </row>
    <row r="18" spans="1:16" x14ac:dyDescent="0.25">
      <c r="A18">
        <v>17</v>
      </c>
      <c r="B18">
        <v>2</v>
      </c>
      <c r="C18">
        <f>Assumptions!$B$5*Assumptions!$B$32*Assumptions!$B$6*D18</f>
      </c>
      <c r="D18">
        <f>IF(A18&lt;=3,Assumptions!$B$21,IF(A18&lt;=6,Assumptions!$B$22,IF(A18&lt;=12,Assumptions!$B$23,Assumptions!$B$24)))/100</f>
      </c>
      <c r="E18">
        <f>Assumptions!$B$5*Assumptions!$B$33*Assumptions!$B$6*D18</f>
      </c>
      <c r="F18">
        <f>Assumptions!$B$5*Assumptions!$B$7*Assumptions!$B$6*D18</f>
      </c>
      <c r="G18">
        <f>Assumptions!$B$8</f>
      </c>
      <c r="H18">
        <f>IF(INDEX(Assumptions!$B$35:$B$47,B18)&lt;&gt;"",INDEX(Assumptions!$B$35:$B$47,B18)/100*Assumptions!$B$2,IF(B18&lt;=Assumptions!$B$17,0,IF(B18&lt;=Assumptions!$B$17+Assumptions!$B$18,Assumptions!$B$19,Assumptions!$B$20)))/12</f>
      </c>
      <c r="I18">
        <f>IF(Assumptions!$B$12="Cash",0,IF(A18&lt;=Assumptions!$B$15,Monthly!$S$1,0))</f>
      </c>
      <c r="J18">
        <f>E18-F18-G18-H18-I18</f>
      </c>
      <c r="K18">
        <f>IF(AND(A18-CEILING(Assumptions!$E$27/30,1)&gt;=1,A18-CEILING(Assumptions!$E$27/30,1)&lt;=156),INDEX($E$2:$E$157,A18-CEILING(Assumptions!$E$27/30,1))*Assumptions!$B$27/100,0)</f>
      </c>
      <c r="L18">
        <f>IF(AND(A18-CEILING(Assumptions!$E$28/30,1)&gt;=1,A18-CEILING(Assumptions!$E$28/30,1)&lt;=156),INDEX($E$2:$E$157,A18-CEILING(Assumptions!$E$28/30,1))*Assumptions!$B$28/100,0)</f>
      </c>
      <c r="M18">
        <f>IF(AND(A18-CEILING(Assumptions!$E$29/30,1)&gt;=1,A18-CEILING(Assumptions!$E$29/30,1)&lt;=156),INDEX($E$2:$E$157,A18-CEILING(Assumptions!$E$29/30,1))*Assumptions!$B$29/100,0)</f>
      </c>
      <c r="N18">
        <f>IF(AND(A18-CEILING(Assumptions!$E$30/30,1)&gt;=1,A18-CEILING(Assumptions!$E$30/30,1)&lt;=156),INDEX($E$2:$E$157,A18-CEILING(Assumptions!$E$30/30,1))*Assumptions!$B$30/100,0)</f>
      </c>
      <c r="O18">
        <f>IF(AND(A18-CEILING(Assumptions!$E$31/30,1)&gt;=1,A18-CEILING(Assumptions!$E$31/30,1)&lt;=156),INDEX($E$2:$E$157,A18-CEILING(Assumptions!$E$31/30,1))*Assumptions!$B$31/100,0)</f>
      </c>
      <c r="P18">
        <f>K18+L18+M18+N18+O18</f>
      </c>
    </row>
    <row r="19" spans="1:16" x14ac:dyDescent="0.25">
      <c r="A19">
        <v>18</v>
      </c>
      <c r="B19">
        <v>2</v>
      </c>
      <c r="C19">
        <f>Assumptions!$B$5*Assumptions!$B$32*Assumptions!$B$6*D19</f>
      </c>
      <c r="D19">
        <f>IF(A19&lt;=3,Assumptions!$B$21,IF(A19&lt;=6,Assumptions!$B$22,IF(A19&lt;=12,Assumptions!$B$23,Assumptions!$B$24)))/100</f>
      </c>
      <c r="E19">
        <f>Assumptions!$B$5*Assumptions!$B$33*Assumptions!$B$6*D19</f>
      </c>
      <c r="F19">
        <f>Assumptions!$B$5*Assumptions!$B$7*Assumptions!$B$6*D19</f>
      </c>
      <c r="G19">
        <f>Assumptions!$B$8</f>
      </c>
      <c r="H19">
        <f>IF(INDEX(Assumptions!$B$35:$B$47,B19)&lt;&gt;"",INDEX(Assumptions!$B$35:$B$47,B19)/100*Assumptions!$B$2,IF(B19&lt;=Assumptions!$B$17,0,IF(B19&lt;=Assumptions!$B$17+Assumptions!$B$18,Assumptions!$B$19,Assumptions!$B$20)))/12</f>
      </c>
      <c r="I19">
        <f>IF(Assumptions!$B$12="Cash",0,IF(A19&lt;=Assumptions!$B$15,Monthly!$S$1,0))</f>
      </c>
      <c r="J19">
        <f>E19-F19-G19-H19-I19</f>
      </c>
      <c r="K19">
        <f>IF(AND(A19-CEILING(Assumptions!$E$27/30,1)&gt;=1,A19-CEILING(Assumptions!$E$27/30,1)&lt;=156),INDEX($E$2:$E$157,A19-CEILING(Assumptions!$E$27/30,1))*Assumptions!$B$27/100,0)</f>
      </c>
      <c r="L19">
        <f>IF(AND(A19-CEILING(Assumptions!$E$28/30,1)&gt;=1,A19-CEILING(Assumptions!$E$28/30,1)&lt;=156),INDEX($E$2:$E$157,A19-CEILING(Assumptions!$E$28/30,1))*Assumptions!$B$28/100,0)</f>
      </c>
      <c r="M19">
        <f>IF(AND(A19-CEILING(Assumptions!$E$29/30,1)&gt;=1,A19-CEILING(Assumptions!$E$29/30,1)&lt;=156),INDEX($E$2:$E$157,A19-CEILING(Assumptions!$E$29/30,1))*Assumptions!$B$29/100,0)</f>
      </c>
      <c r="N19">
        <f>IF(AND(A19-CEILING(Assumptions!$E$30/30,1)&gt;=1,A19-CEILING(Assumptions!$E$30/30,1)&lt;=156),INDEX($E$2:$E$157,A19-CEILING(Assumptions!$E$30/30,1))*Assumptions!$B$30/100,0)</f>
      </c>
      <c r="O19">
        <f>IF(AND(A19-CEILING(Assumptions!$E$31/30,1)&gt;=1,A19-CEILING(Assumptions!$E$31/30,1)&lt;=156),INDEX($E$2:$E$157,A19-CEILING(Assumptions!$E$31/30,1))*Assumptions!$B$31/100,0)</f>
      </c>
      <c r="P19">
        <f>K19+L19+M19+N19+O19</f>
      </c>
    </row>
    <row r="20" spans="1:16" x14ac:dyDescent="0.25">
      <c r="A20">
        <v>19</v>
      </c>
      <c r="B20">
        <v>2</v>
      </c>
      <c r="C20">
        <f>Assumptions!$B$5*Assumptions!$B$32*Assumptions!$B$6*D20</f>
      </c>
      <c r="D20">
        <f>IF(A20&lt;=3,Assumptions!$B$21,IF(A20&lt;=6,Assumptions!$B$22,IF(A20&lt;=12,Assumptions!$B$23,Assumptions!$B$24)))/100</f>
      </c>
      <c r="E20">
        <f>Assumptions!$B$5*Assumptions!$B$33*Assumptions!$B$6*D20</f>
      </c>
      <c r="F20">
        <f>Assumptions!$B$5*Assumptions!$B$7*Assumptions!$B$6*D20</f>
      </c>
      <c r="G20">
        <f>Assumptions!$B$8</f>
      </c>
      <c r="H20">
        <f>IF(INDEX(Assumptions!$B$35:$B$47,B20)&lt;&gt;"",INDEX(Assumptions!$B$35:$B$47,B20)/100*Assumptions!$B$2,IF(B20&lt;=Assumptions!$B$17,0,IF(B20&lt;=Assumptions!$B$17+Assumptions!$B$18,Assumptions!$B$19,Assumptions!$B$20)))/12</f>
      </c>
      <c r="I20">
        <f>IF(Assumptions!$B$12="Cash",0,IF(A20&lt;=Assumptions!$B$15,Monthly!$S$1,0))</f>
      </c>
      <c r="J20">
        <f>E20-F20-G20-H20-I20</f>
      </c>
      <c r="K20">
        <f>IF(AND(A20-CEILING(Assumptions!$E$27/30,1)&gt;=1,A20-CEILING(Assumptions!$E$27/30,1)&lt;=156),INDEX($E$2:$E$157,A20-CEILING(Assumptions!$E$27/30,1))*Assumptions!$B$27/100,0)</f>
      </c>
      <c r="L20">
        <f>IF(AND(A20-CEILING(Assumptions!$E$28/30,1)&gt;=1,A20-CEILING(Assumptions!$E$28/30,1)&lt;=156),INDEX($E$2:$E$157,A20-CEILING(Assumptions!$E$28/30,1))*Assumptions!$B$28/100,0)</f>
      </c>
      <c r="M20">
        <f>IF(AND(A20-CEILING(Assumptions!$E$29/30,1)&gt;=1,A20-CEILING(Assumptions!$E$29/30,1)&lt;=156),INDEX($E$2:$E$157,A20-CEILING(Assumptions!$E$29/30,1))*Assumptions!$B$29/100,0)</f>
      </c>
      <c r="N20">
        <f>IF(AND(A20-CEILING(Assumptions!$E$30/30,1)&gt;=1,A20-CEILING(Assumptions!$E$30/30,1)&lt;=156),INDEX($E$2:$E$157,A20-CEILING(Assumptions!$E$30/30,1))*Assumptions!$B$30/100,0)</f>
      </c>
      <c r="O20">
        <f>IF(AND(A20-CEILING(Assumptions!$E$31/30,1)&gt;=1,A20-CEILING(Assumptions!$E$31/30,1)&lt;=156),INDEX($E$2:$E$157,A20-CEILING(Assumptions!$E$31/30,1))*Assumptions!$B$31/100,0)</f>
      </c>
      <c r="P20">
        <f>K20+L20+M20+N20+O20</f>
      </c>
    </row>
    <row r="21" spans="1:16" x14ac:dyDescent="0.25">
      <c r="A21">
        <v>20</v>
      </c>
      <c r="B21">
        <v>2</v>
      </c>
      <c r="C21">
        <f>Assumptions!$B$5*Assumptions!$B$32*Assumptions!$B$6*D21</f>
      </c>
      <c r="D21">
        <f>IF(A21&lt;=3,Assumptions!$B$21,IF(A21&lt;=6,Assumptions!$B$22,IF(A21&lt;=12,Assumptions!$B$23,Assumptions!$B$24)))/100</f>
      </c>
      <c r="E21">
        <f>Assumptions!$B$5*Assumptions!$B$33*Assumptions!$B$6*D21</f>
      </c>
      <c r="F21">
        <f>Assumptions!$B$5*Assumptions!$B$7*Assumptions!$B$6*D21</f>
      </c>
      <c r="G21">
        <f>Assumptions!$B$8</f>
      </c>
      <c r="H21">
        <f>IF(INDEX(Assumptions!$B$35:$B$47,B21)&lt;&gt;"",INDEX(Assumptions!$B$35:$B$47,B21)/100*Assumptions!$B$2,IF(B21&lt;=Assumptions!$B$17,0,IF(B21&lt;=Assumptions!$B$17+Assumptions!$B$18,Assumptions!$B$19,Assumptions!$B$20)))/12</f>
      </c>
      <c r="I21">
        <f>IF(Assumptions!$B$12="Cash",0,IF(A21&lt;=Assumptions!$B$15,Monthly!$S$1,0))</f>
      </c>
      <c r="J21">
        <f>E21-F21-G21-H21-I21</f>
      </c>
      <c r="K21">
        <f>IF(AND(A21-CEILING(Assumptions!$E$27/30,1)&gt;=1,A21-CEILING(Assumptions!$E$27/30,1)&lt;=156),INDEX($E$2:$E$157,A21-CEILING(Assumptions!$E$27/30,1))*Assumptions!$B$27/100,0)</f>
      </c>
      <c r="L21">
        <f>IF(AND(A21-CEILING(Assumptions!$E$28/30,1)&gt;=1,A21-CEILING(Assumptions!$E$28/30,1)&lt;=156),INDEX($E$2:$E$157,A21-CEILING(Assumptions!$E$28/30,1))*Assumptions!$B$28/100,0)</f>
      </c>
      <c r="M21">
        <f>IF(AND(A21-CEILING(Assumptions!$E$29/30,1)&gt;=1,A21-CEILING(Assumptions!$E$29/30,1)&lt;=156),INDEX($E$2:$E$157,A21-CEILING(Assumptions!$E$29/30,1))*Assumptions!$B$29/100,0)</f>
      </c>
      <c r="N21">
        <f>IF(AND(A21-CEILING(Assumptions!$E$30/30,1)&gt;=1,A21-CEILING(Assumptions!$E$30/30,1)&lt;=156),INDEX($E$2:$E$157,A21-CEILING(Assumptions!$E$30/30,1))*Assumptions!$B$30/100,0)</f>
      </c>
      <c r="O21">
        <f>IF(AND(A21-CEILING(Assumptions!$E$31/30,1)&gt;=1,A21-CEILING(Assumptions!$E$31/30,1)&lt;=156),INDEX($E$2:$E$157,A21-CEILING(Assumptions!$E$31/30,1))*Assumptions!$B$31/100,0)</f>
      </c>
      <c r="P21">
        <f>K21+L21+M21+N21+O21</f>
      </c>
    </row>
    <row r="22" spans="1:16" x14ac:dyDescent="0.25">
      <c r="A22">
        <v>21</v>
      </c>
      <c r="B22">
        <v>2</v>
      </c>
      <c r="C22">
        <f>Assumptions!$B$5*Assumptions!$B$32*Assumptions!$B$6*D22</f>
      </c>
      <c r="D22">
        <f>IF(A22&lt;=3,Assumptions!$B$21,IF(A22&lt;=6,Assumptions!$B$22,IF(A22&lt;=12,Assumptions!$B$23,Assumptions!$B$24)))/100</f>
      </c>
      <c r="E22">
        <f>Assumptions!$B$5*Assumptions!$B$33*Assumptions!$B$6*D22</f>
      </c>
      <c r="F22">
        <f>Assumptions!$B$5*Assumptions!$B$7*Assumptions!$B$6*D22</f>
      </c>
      <c r="G22">
        <f>Assumptions!$B$8</f>
      </c>
      <c r="H22">
        <f>IF(INDEX(Assumptions!$B$35:$B$47,B22)&lt;&gt;"",INDEX(Assumptions!$B$35:$B$47,B22)/100*Assumptions!$B$2,IF(B22&lt;=Assumptions!$B$17,0,IF(B22&lt;=Assumptions!$B$17+Assumptions!$B$18,Assumptions!$B$19,Assumptions!$B$20)))/12</f>
      </c>
      <c r="I22">
        <f>IF(Assumptions!$B$12="Cash",0,IF(A22&lt;=Assumptions!$B$15,Monthly!$S$1,0))</f>
      </c>
      <c r="J22">
        <f>E22-F22-G22-H22-I22</f>
      </c>
      <c r="K22">
        <f>IF(AND(A22-CEILING(Assumptions!$E$27/30,1)&gt;=1,A22-CEILING(Assumptions!$E$27/30,1)&lt;=156),INDEX($E$2:$E$157,A22-CEILING(Assumptions!$E$27/30,1))*Assumptions!$B$27/100,0)</f>
      </c>
      <c r="L22">
        <f>IF(AND(A22-CEILING(Assumptions!$E$28/30,1)&gt;=1,A22-CEILING(Assumptions!$E$28/30,1)&lt;=156),INDEX($E$2:$E$157,A22-CEILING(Assumptions!$E$28/30,1))*Assumptions!$B$28/100,0)</f>
      </c>
      <c r="M22">
        <f>IF(AND(A22-CEILING(Assumptions!$E$29/30,1)&gt;=1,A22-CEILING(Assumptions!$E$29/30,1)&lt;=156),INDEX($E$2:$E$157,A22-CEILING(Assumptions!$E$29/30,1))*Assumptions!$B$29/100,0)</f>
      </c>
      <c r="N22">
        <f>IF(AND(A22-CEILING(Assumptions!$E$30/30,1)&gt;=1,A22-CEILING(Assumptions!$E$30/30,1)&lt;=156),INDEX($E$2:$E$157,A22-CEILING(Assumptions!$E$30/30,1))*Assumptions!$B$30/100,0)</f>
      </c>
      <c r="O22">
        <f>IF(AND(A22-CEILING(Assumptions!$E$31/30,1)&gt;=1,A22-CEILING(Assumptions!$E$31/30,1)&lt;=156),INDEX($E$2:$E$157,A22-CEILING(Assumptions!$E$31/30,1))*Assumptions!$B$31/100,0)</f>
      </c>
      <c r="P22">
        <f>K22+L22+M22+N22+O22</f>
      </c>
    </row>
    <row r="23" spans="1:16" x14ac:dyDescent="0.25">
      <c r="A23">
        <v>22</v>
      </c>
      <c r="B23">
        <v>2</v>
      </c>
      <c r="C23">
        <f>Assumptions!$B$5*Assumptions!$B$32*Assumptions!$B$6*D23</f>
      </c>
      <c r="D23">
        <f>IF(A23&lt;=3,Assumptions!$B$21,IF(A23&lt;=6,Assumptions!$B$22,IF(A23&lt;=12,Assumptions!$B$23,Assumptions!$B$24)))/100</f>
      </c>
      <c r="E23">
        <f>Assumptions!$B$5*Assumptions!$B$33*Assumptions!$B$6*D23</f>
      </c>
      <c r="F23">
        <f>Assumptions!$B$5*Assumptions!$B$7*Assumptions!$B$6*D23</f>
      </c>
      <c r="G23">
        <f>Assumptions!$B$8</f>
      </c>
      <c r="H23">
        <f>IF(INDEX(Assumptions!$B$35:$B$47,B23)&lt;&gt;"",INDEX(Assumptions!$B$35:$B$47,B23)/100*Assumptions!$B$2,IF(B23&lt;=Assumptions!$B$17,0,IF(B23&lt;=Assumptions!$B$17+Assumptions!$B$18,Assumptions!$B$19,Assumptions!$B$20)))/12</f>
      </c>
      <c r="I23">
        <f>IF(Assumptions!$B$12="Cash",0,IF(A23&lt;=Assumptions!$B$15,Monthly!$S$1,0))</f>
      </c>
      <c r="J23">
        <f>E23-F23-G23-H23-I23</f>
      </c>
      <c r="K23">
        <f>IF(AND(A23-CEILING(Assumptions!$E$27/30,1)&gt;=1,A23-CEILING(Assumptions!$E$27/30,1)&lt;=156),INDEX($E$2:$E$157,A23-CEILING(Assumptions!$E$27/30,1))*Assumptions!$B$27/100,0)</f>
      </c>
      <c r="L23">
        <f>IF(AND(A23-CEILING(Assumptions!$E$28/30,1)&gt;=1,A23-CEILING(Assumptions!$E$28/30,1)&lt;=156),INDEX($E$2:$E$157,A23-CEILING(Assumptions!$E$28/30,1))*Assumptions!$B$28/100,0)</f>
      </c>
      <c r="M23">
        <f>IF(AND(A23-CEILING(Assumptions!$E$29/30,1)&gt;=1,A23-CEILING(Assumptions!$E$29/30,1)&lt;=156),INDEX($E$2:$E$157,A23-CEILING(Assumptions!$E$29/30,1))*Assumptions!$B$29/100,0)</f>
      </c>
      <c r="N23">
        <f>IF(AND(A23-CEILING(Assumptions!$E$30/30,1)&gt;=1,A23-CEILING(Assumptions!$E$30/30,1)&lt;=156),INDEX($E$2:$E$157,A23-CEILING(Assumptions!$E$30/30,1))*Assumptions!$B$30/100,0)</f>
      </c>
      <c r="O23">
        <f>IF(AND(A23-CEILING(Assumptions!$E$31/30,1)&gt;=1,A23-CEILING(Assumptions!$E$31/30,1)&lt;=156),INDEX($E$2:$E$157,A23-CEILING(Assumptions!$E$31/30,1))*Assumptions!$B$31/100,0)</f>
      </c>
      <c r="P23">
        <f>K23+L23+M23+N23+O23</f>
      </c>
    </row>
    <row r="24" spans="1:16" x14ac:dyDescent="0.25">
      <c r="A24">
        <v>23</v>
      </c>
      <c r="B24">
        <v>2</v>
      </c>
      <c r="C24">
        <f>Assumptions!$B$5*Assumptions!$B$32*Assumptions!$B$6*D24</f>
      </c>
      <c r="D24">
        <f>IF(A24&lt;=3,Assumptions!$B$21,IF(A24&lt;=6,Assumptions!$B$22,IF(A24&lt;=12,Assumptions!$B$23,Assumptions!$B$24)))/100</f>
      </c>
      <c r="E24">
        <f>Assumptions!$B$5*Assumptions!$B$33*Assumptions!$B$6*D24</f>
      </c>
      <c r="F24">
        <f>Assumptions!$B$5*Assumptions!$B$7*Assumptions!$B$6*D24</f>
      </c>
      <c r="G24">
        <f>Assumptions!$B$8</f>
      </c>
      <c r="H24">
        <f>IF(INDEX(Assumptions!$B$35:$B$47,B24)&lt;&gt;"",INDEX(Assumptions!$B$35:$B$47,B24)/100*Assumptions!$B$2,IF(B24&lt;=Assumptions!$B$17,0,IF(B24&lt;=Assumptions!$B$17+Assumptions!$B$18,Assumptions!$B$19,Assumptions!$B$20)))/12</f>
      </c>
      <c r="I24">
        <f>IF(Assumptions!$B$12="Cash",0,IF(A24&lt;=Assumptions!$B$15,Monthly!$S$1,0))</f>
      </c>
      <c r="J24">
        <f>E24-F24-G24-H24-I24</f>
      </c>
      <c r="K24">
        <f>IF(AND(A24-CEILING(Assumptions!$E$27/30,1)&gt;=1,A24-CEILING(Assumptions!$E$27/30,1)&lt;=156),INDEX($E$2:$E$157,A24-CEILING(Assumptions!$E$27/30,1))*Assumptions!$B$27/100,0)</f>
      </c>
      <c r="L24">
        <f>IF(AND(A24-CEILING(Assumptions!$E$28/30,1)&gt;=1,A24-CEILING(Assumptions!$E$28/30,1)&lt;=156),INDEX($E$2:$E$157,A24-CEILING(Assumptions!$E$28/30,1))*Assumptions!$B$28/100,0)</f>
      </c>
      <c r="M24">
        <f>IF(AND(A24-CEILING(Assumptions!$E$29/30,1)&gt;=1,A24-CEILING(Assumptions!$E$29/30,1)&lt;=156),INDEX($E$2:$E$157,A24-CEILING(Assumptions!$E$29/30,1))*Assumptions!$B$29/100,0)</f>
      </c>
      <c r="N24">
        <f>IF(AND(A24-CEILING(Assumptions!$E$30/30,1)&gt;=1,A24-CEILING(Assumptions!$E$30/30,1)&lt;=156),INDEX($E$2:$E$157,A24-CEILING(Assumptions!$E$30/30,1))*Assumptions!$B$30/100,0)</f>
      </c>
      <c r="O24">
        <f>IF(AND(A24-CEILING(Assumptions!$E$31/30,1)&gt;=1,A24-CEILING(Assumptions!$E$31/30,1)&lt;=156),INDEX($E$2:$E$157,A24-CEILING(Assumptions!$E$31/30,1))*Assumptions!$B$31/100,0)</f>
      </c>
      <c r="P24">
        <f>K24+L24+M24+N24+O24</f>
      </c>
    </row>
    <row r="25" spans="1:16" x14ac:dyDescent="0.25">
      <c r="A25">
        <v>24</v>
      </c>
      <c r="B25">
        <v>2</v>
      </c>
      <c r="C25">
        <f>Assumptions!$B$5*Assumptions!$B$32*Assumptions!$B$6*D25</f>
      </c>
      <c r="D25">
        <f>IF(A25&lt;=3,Assumptions!$B$21,IF(A25&lt;=6,Assumptions!$B$22,IF(A25&lt;=12,Assumptions!$B$23,Assumptions!$B$24)))/100</f>
      </c>
      <c r="E25">
        <f>Assumptions!$B$5*Assumptions!$B$33*Assumptions!$B$6*D25</f>
      </c>
      <c r="F25">
        <f>Assumptions!$B$5*Assumptions!$B$7*Assumptions!$B$6*D25</f>
      </c>
      <c r="G25">
        <f>Assumptions!$B$8</f>
      </c>
      <c r="H25">
        <f>IF(INDEX(Assumptions!$B$35:$B$47,B25)&lt;&gt;"",INDEX(Assumptions!$B$35:$B$47,B25)/100*Assumptions!$B$2,IF(B25&lt;=Assumptions!$B$17,0,IF(B25&lt;=Assumptions!$B$17+Assumptions!$B$18,Assumptions!$B$19,Assumptions!$B$20)))/12</f>
      </c>
      <c r="I25">
        <f>IF(Assumptions!$B$12="Cash",0,IF(A25&lt;=Assumptions!$B$15,Monthly!$S$1,0))</f>
      </c>
      <c r="J25">
        <f>E25-F25-G25-H25-I25</f>
      </c>
      <c r="K25">
        <f>IF(AND(A25-CEILING(Assumptions!$E$27/30,1)&gt;=1,A25-CEILING(Assumptions!$E$27/30,1)&lt;=156),INDEX($E$2:$E$157,A25-CEILING(Assumptions!$E$27/30,1))*Assumptions!$B$27/100,0)</f>
      </c>
      <c r="L25">
        <f>IF(AND(A25-CEILING(Assumptions!$E$28/30,1)&gt;=1,A25-CEILING(Assumptions!$E$28/30,1)&lt;=156),INDEX($E$2:$E$157,A25-CEILING(Assumptions!$E$28/30,1))*Assumptions!$B$28/100,0)</f>
      </c>
      <c r="M25">
        <f>IF(AND(A25-CEILING(Assumptions!$E$29/30,1)&gt;=1,A25-CEILING(Assumptions!$E$29/30,1)&lt;=156),INDEX($E$2:$E$157,A25-CEILING(Assumptions!$E$29/30,1))*Assumptions!$B$29/100,0)</f>
      </c>
      <c r="N25">
        <f>IF(AND(A25-CEILING(Assumptions!$E$30/30,1)&gt;=1,A25-CEILING(Assumptions!$E$30/30,1)&lt;=156),INDEX($E$2:$E$157,A25-CEILING(Assumptions!$E$30/30,1))*Assumptions!$B$30/100,0)</f>
      </c>
      <c r="O25">
        <f>IF(AND(A25-CEILING(Assumptions!$E$31/30,1)&gt;=1,A25-CEILING(Assumptions!$E$31/30,1)&lt;=156),INDEX($E$2:$E$157,A25-CEILING(Assumptions!$E$31/30,1))*Assumptions!$B$31/100,0)</f>
      </c>
      <c r="P25">
        <f>K25+L25+M25+N25+O25</f>
      </c>
    </row>
    <row r="26" spans="1:16" x14ac:dyDescent="0.25">
      <c r="A26">
        <v>25</v>
      </c>
      <c r="B26">
        <v>3</v>
      </c>
      <c r="C26">
        <f>Assumptions!$B$5*Assumptions!$B$32*Assumptions!$B$6*D26</f>
      </c>
      <c r="D26">
        <f>IF(A26&lt;=3,Assumptions!$B$21,IF(A26&lt;=6,Assumptions!$B$22,IF(A26&lt;=12,Assumptions!$B$23,Assumptions!$B$24)))/100</f>
      </c>
      <c r="E26">
        <f>Assumptions!$B$5*Assumptions!$B$33*Assumptions!$B$6*D26</f>
      </c>
      <c r="F26">
        <f>Assumptions!$B$5*Assumptions!$B$7*Assumptions!$B$6*D26</f>
      </c>
      <c r="G26">
        <f>Assumptions!$B$8</f>
      </c>
      <c r="H26">
        <f>IF(INDEX(Assumptions!$B$35:$B$47,B26)&lt;&gt;"",INDEX(Assumptions!$B$35:$B$47,B26)/100*Assumptions!$B$2,IF(B26&lt;=Assumptions!$B$17,0,IF(B26&lt;=Assumptions!$B$17+Assumptions!$B$18,Assumptions!$B$19,Assumptions!$B$20)))/12</f>
      </c>
      <c r="I26">
        <f>IF(Assumptions!$B$12="Cash",0,IF(A26&lt;=Assumptions!$B$15,Monthly!$S$1,0))</f>
      </c>
      <c r="J26">
        <f>E26-F26-G26-H26-I26</f>
      </c>
      <c r="K26">
        <f>IF(AND(A26-CEILING(Assumptions!$E$27/30,1)&gt;=1,A26-CEILING(Assumptions!$E$27/30,1)&lt;=156),INDEX($E$2:$E$157,A26-CEILING(Assumptions!$E$27/30,1))*Assumptions!$B$27/100,0)</f>
      </c>
      <c r="L26">
        <f>IF(AND(A26-CEILING(Assumptions!$E$28/30,1)&gt;=1,A26-CEILING(Assumptions!$E$28/30,1)&lt;=156),INDEX($E$2:$E$157,A26-CEILING(Assumptions!$E$28/30,1))*Assumptions!$B$28/100,0)</f>
      </c>
      <c r="M26">
        <f>IF(AND(A26-CEILING(Assumptions!$E$29/30,1)&gt;=1,A26-CEILING(Assumptions!$E$29/30,1)&lt;=156),INDEX($E$2:$E$157,A26-CEILING(Assumptions!$E$29/30,1))*Assumptions!$B$29/100,0)</f>
      </c>
      <c r="N26">
        <f>IF(AND(A26-CEILING(Assumptions!$E$30/30,1)&gt;=1,A26-CEILING(Assumptions!$E$30/30,1)&lt;=156),INDEX($E$2:$E$157,A26-CEILING(Assumptions!$E$30/30,1))*Assumptions!$B$30/100,0)</f>
      </c>
      <c r="O26">
        <f>IF(AND(A26-CEILING(Assumptions!$E$31/30,1)&gt;=1,A26-CEILING(Assumptions!$E$31/30,1)&lt;=156),INDEX($E$2:$E$157,A26-CEILING(Assumptions!$E$31/30,1))*Assumptions!$B$31/100,0)</f>
      </c>
      <c r="P26">
        <f>K26+L26+M26+N26+O26</f>
      </c>
    </row>
    <row r="27" spans="1:16" x14ac:dyDescent="0.25">
      <c r="A27">
        <v>26</v>
      </c>
      <c r="B27">
        <v>3</v>
      </c>
      <c r="C27">
        <f>Assumptions!$B$5*Assumptions!$B$32*Assumptions!$B$6*D27</f>
      </c>
      <c r="D27">
        <f>IF(A27&lt;=3,Assumptions!$B$21,IF(A27&lt;=6,Assumptions!$B$22,IF(A27&lt;=12,Assumptions!$B$23,Assumptions!$B$24)))/100</f>
      </c>
      <c r="E27">
        <f>Assumptions!$B$5*Assumptions!$B$33*Assumptions!$B$6*D27</f>
      </c>
      <c r="F27">
        <f>Assumptions!$B$5*Assumptions!$B$7*Assumptions!$B$6*D27</f>
      </c>
      <c r="G27">
        <f>Assumptions!$B$8</f>
      </c>
      <c r="H27">
        <f>IF(INDEX(Assumptions!$B$35:$B$47,B27)&lt;&gt;"",INDEX(Assumptions!$B$35:$B$47,B27)/100*Assumptions!$B$2,IF(B27&lt;=Assumptions!$B$17,0,IF(B27&lt;=Assumptions!$B$17+Assumptions!$B$18,Assumptions!$B$19,Assumptions!$B$20)))/12</f>
      </c>
      <c r="I27">
        <f>IF(Assumptions!$B$12="Cash",0,IF(A27&lt;=Assumptions!$B$15,Monthly!$S$1,0))</f>
      </c>
      <c r="J27">
        <f>E27-F27-G27-H27-I27</f>
      </c>
      <c r="K27">
        <f>IF(AND(A27-CEILING(Assumptions!$E$27/30,1)&gt;=1,A27-CEILING(Assumptions!$E$27/30,1)&lt;=156),INDEX($E$2:$E$157,A27-CEILING(Assumptions!$E$27/30,1))*Assumptions!$B$27/100,0)</f>
      </c>
      <c r="L27">
        <f>IF(AND(A27-CEILING(Assumptions!$E$28/30,1)&gt;=1,A27-CEILING(Assumptions!$E$28/30,1)&lt;=156),INDEX($E$2:$E$157,A27-CEILING(Assumptions!$E$28/30,1))*Assumptions!$B$28/100,0)</f>
      </c>
      <c r="M27">
        <f>IF(AND(A27-CEILING(Assumptions!$E$29/30,1)&gt;=1,A27-CEILING(Assumptions!$E$29/30,1)&lt;=156),INDEX($E$2:$E$157,A27-CEILING(Assumptions!$E$29/30,1))*Assumptions!$B$29/100,0)</f>
      </c>
      <c r="N27">
        <f>IF(AND(A27-CEILING(Assumptions!$E$30/30,1)&gt;=1,A27-CEILING(Assumptions!$E$30/30,1)&lt;=156),INDEX($E$2:$E$157,A27-CEILING(Assumptions!$E$30/30,1))*Assumptions!$B$30/100,0)</f>
      </c>
      <c r="O27">
        <f>IF(AND(A27-CEILING(Assumptions!$E$31/30,1)&gt;=1,A27-CEILING(Assumptions!$E$31/30,1)&lt;=156),INDEX($E$2:$E$157,A27-CEILING(Assumptions!$E$31/30,1))*Assumptions!$B$31/100,0)</f>
      </c>
      <c r="P27">
        <f>K27+L27+M27+N27+O27</f>
      </c>
    </row>
    <row r="28" spans="1:16" x14ac:dyDescent="0.25">
      <c r="A28">
        <v>27</v>
      </c>
      <c r="B28">
        <v>3</v>
      </c>
      <c r="C28">
        <f>Assumptions!$B$5*Assumptions!$B$32*Assumptions!$B$6*D28</f>
      </c>
      <c r="D28">
        <f>IF(A28&lt;=3,Assumptions!$B$21,IF(A28&lt;=6,Assumptions!$B$22,IF(A28&lt;=12,Assumptions!$B$23,Assumptions!$B$24)))/100</f>
      </c>
      <c r="E28">
        <f>Assumptions!$B$5*Assumptions!$B$33*Assumptions!$B$6*D28</f>
      </c>
      <c r="F28">
        <f>Assumptions!$B$5*Assumptions!$B$7*Assumptions!$B$6*D28</f>
      </c>
      <c r="G28">
        <f>Assumptions!$B$8</f>
      </c>
      <c r="H28">
        <f>IF(INDEX(Assumptions!$B$35:$B$47,B28)&lt;&gt;"",INDEX(Assumptions!$B$35:$B$47,B28)/100*Assumptions!$B$2,IF(B28&lt;=Assumptions!$B$17,0,IF(B28&lt;=Assumptions!$B$17+Assumptions!$B$18,Assumptions!$B$19,Assumptions!$B$20)))/12</f>
      </c>
      <c r="I28">
        <f>IF(Assumptions!$B$12="Cash",0,IF(A28&lt;=Assumptions!$B$15,Monthly!$S$1,0))</f>
      </c>
      <c r="J28">
        <f>E28-F28-G28-H28-I28</f>
      </c>
      <c r="K28">
        <f>IF(AND(A28-CEILING(Assumptions!$E$27/30,1)&gt;=1,A28-CEILING(Assumptions!$E$27/30,1)&lt;=156),INDEX($E$2:$E$157,A28-CEILING(Assumptions!$E$27/30,1))*Assumptions!$B$27/100,0)</f>
      </c>
      <c r="L28">
        <f>IF(AND(A28-CEILING(Assumptions!$E$28/30,1)&gt;=1,A28-CEILING(Assumptions!$E$28/30,1)&lt;=156),INDEX($E$2:$E$157,A28-CEILING(Assumptions!$E$28/30,1))*Assumptions!$B$28/100,0)</f>
      </c>
      <c r="M28">
        <f>IF(AND(A28-CEILING(Assumptions!$E$29/30,1)&gt;=1,A28-CEILING(Assumptions!$E$29/30,1)&lt;=156),INDEX($E$2:$E$157,A28-CEILING(Assumptions!$E$29/30,1))*Assumptions!$B$29/100,0)</f>
      </c>
      <c r="N28">
        <f>IF(AND(A28-CEILING(Assumptions!$E$30/30,1)&gt;=1,A28-CEILING(Assumptions!$E$30/30,1)&lt;=156),INDEX($E$2:$E$157,A28-CEILING(Assumptions!$E$30/30,1))*Assumptions!$B$30/100,0)</f>
      </c>
      <c r="O28">
        <f>IF(AND(A28-CEILING(Assumptions!$E$31/30,1)&gt;=1,A28-CEILING(Assumptions!$E$31/30,1)&lt;=156),INDEX($E$2:$E$157,A28-CEILING(Assumptions!$E$31/30,1))*Assumptions!$B$31/100,0)</f>
      </c>
      <c r="P28">
        <f>K28+L28+M28+N28+O28</f>
      </c>
    </row>
    <row r="29" spans="1:16" x14ac:dyDescent="0.25">
      <c r="A29">
        <v>28</v>
      </c>
      <c r="B29">
        <v>3</v>
      </c>
      <c r="C29">
        <f>Assumptions!$B$5*Assumptions!$B$32*Assumptions!$B$6*D29</f>
      </c>
      <c r="D29">
        <f>IF(A29&lt;=3,Assumptions!$B$21,IF(A29&lt;=6,Assumptions!$B$22,IF(A29&lt;=12,Assumptions!$B$23,Assumptions!$B$24)))/100</f>
      </c>
      <c r="E29">
        <f>Assumptions!$B$5*Assumptions!$B$33*Assumptions!$B$6*D29</f>
      </c>
      <c r="F29">
        <f>Assumptions!$B$5*Assumptions!$B$7*Assumptions!$B$6*D29</f>
      </c>
      <c r="G29">
        <f>Assumptions!$B$8</f>
      </c>
      <c r="H29">
        <f>IF(INDEX(Assumptions!$B$35:$B$47,B29)&lt;&gt;"",INDEX(Assumptions!$B$35:$B$47,B29)/100*Assumptions!$B$2,IF(B29&lt;=Assumptions!$B$17,0,IF(B29&lt;=Assumptions!$B$17+Assumptions!$B$18,Assumptions!$B$19,Assumptions!$B$20)))/12</f>
      </c>
      <c r="I29">
        <f>IF(Assumptions!$B$12="Cash",0,IF(A29&lt;=Assumptions!$B$15,Monthly!$S$1,0))</f>
      </c>
      <c r="J29">
        <f>E29-F29-G29-H29-I29</f>
      </c>
      <c r="K29">
        <f>IF(AND(A29-CEILING(Assumptions!$E$27/30,1)&gt;=1,A29-CEILING(Assumptions!$E$27/30,1)&lt;=156),INDEX($E$2:$E$157,A29-CEILING(Assumptions!$E$27/30,1))*Assumptions!$B$27/100,0)</f>
      </c>
      <c r="L29">
        <f>IF(AND(A29-CEILING(Assumptions!$E$28/30,1)&gt;=1,A29-CEILING(Assumptions!$E$28/30,1)&lt;=156),INDEX($E$2:$E$157,A29-CEILING(Assumptions!$E$28/30,1))*Assumptions!$B$28/100,0)</f>
      </c>
      <c r="M29">
        <f>IF(AND(A29-CEILING(Assumptions!$E$29/30,1)&gt;=1,A29-CEILING(Assumptions!$E$29/30,1)&lt;=156),INDEX($E$2:$E$157,A29-CEILING(Assumptions!$E$29/30,1))*Assumptions!$B$29/100,0)</f>
      </c>
      <c r="N29">
        <f>IF(AND(A29-CEILING(Assumptions!$E$30/30,1)&gt;=1,A29-CEILING(Assumptions!$E$30/30,1)&lt;=156),INDEX($E$2:$E$157,A29-CEILING(Assumptions!$E$30/30,1))*Assumptions!$B$30/100,0)</f>
      </c>
      <c r="O29">
        <f>IF(AND(A29-CEILING(Assumptions!$E$31/30,1)&gt;=1,A29-CEILING(Assumptions!$E$31/30,1)&lt;=156),INDEX($E$2:$E$157,A29-CEILING(Assumptions!$E$31/30,1))*Assumptions!$B$31/100,0)</f>
      </c>
      <c r="P29">
        <f>K29+L29+M29+N29+O29</f>
      </c>
    </row>
    <row r="30" spans="1:16" x14ac:dyDescent="0.25">
      <c r="A30">
        <v>29</v>
      </c>
      <c r="B30">
        <v>3</v>
      </c>
      <c r="C30">
        <f>Assumptions!$B$5*Assumptions!$B$32*Assumptions!$B$6*D30</f>
      </c>
      <c r="D30">
        <f>IF(A30&lt;=3,Assumptions!$B$21,IF(A30&lt;=6,Assumptions!$B$22,IF(A30&lt;=12,Assumptions!$B$23,Assumptions!$B$24)))/100</f>
      </c>
      <c r="E30">
        <f>Assumptions!$B$5*Assumptions!$B$33*Assumptions!$B$6*D30</f>
      </c>
      <c r="F30">
        <f>Assumptions!$B$5*Assumptions!$B$7*Assumptions!$B$6*D30</f>
      </c>
      <c r="G30">
        <f>Assumptions!$B$8</f>
      </c>
      <c r="H30">
        <f>IF(INDEX(Assumptions!$B$35:$B$47,B30)&lt;&gt;"",INDEX(Assumptions!$B$35:$B$47,B30)/100*Assumptions!$B$2,IF(B30&lt;=Assumptions!$B$17,0,IF(B30&lt;=Assumptions!$B$17+Assumptions!$B$18,Assumptions!$B$19,Assumptions!$B$20)))/12</f>
      </c>
      <c r="I30">
        <f>IF(Assumptions!$B$12="Cash",0,IF(A30&lt;=Assumptions!$B$15,Monthly!$S$1,0))</f>
      </c>
      <c r="J30">
        <f>E30-F30-G30-H30-I30</f>
      </c>
      <c r="K30">
        <f>IF(AND(A30-CEILING(Assumptions!$E$27/30,1)&gt;=1,A30-CEILING(Assumptions!$E$27/30,1)&lt;=156),INDEX($E$2:$E$157,A30-CEILING(Assumptions!$E$27/30,1))*Assumptions!$B$27/100,0)</f>
      </c>
      <c r="L30">
        <f>IF(AND(A30-CEILING(Assumptions!$E$28/30,1)&gt;=1,A30-CEILING(Assumptions!$E$28/30,1)&lt;=156),INDEX($E$2:$E$157,A30-CEILING(Assumptions!$E$28/30,1))*Assumptions!$B$28/100,0)</f>
      </c>
      <c r="M30">
        <f>IF(AND(A30-CEILING(Assumptions!$E$29/30,1)&gt;=1,A30-CEILING(Assumptions!$E$29/30,1)&lt;=156),INDEX($E$2:$E$157,A30-CEILING(Assumptions!$E$29/30,1))*Assumptions!$B$29/100,0)</f>
      </c>
      <c r="N30">
        <f>IF(AND(A30-CEILING(Assumptions!$E$30/30,1)&gt;=1,A30-CEILING(Assumptions!$E$30/30,1)&lt;=156),INDEX($E$2:$E$157,A30-CEILING(Assumptions!$E$30/30,1))*Assumptions!$B$30/100,0)</f>
      </c>
      <c r="O30">
        <f>IF(AND(A30-CEILING(Assumptions!$E$31/30,1)&gt;=1,A30-CEILING(Assumptions!$E$31/30,1)&lt;=156),INDEX($E$2:$E$157,A30-CEILING(Assumptions!$E$31/30,1))*Assumptions!$B$31/100,0)</f>
      </c>
      <c r="P30">
        <f>K30+L30+M30+N30+O30</f>
      </c>
    </row>
    <row r="31" spans="1:16" x14ac:dyDescent="0.25">
      <c r="A31">
        <v>30</v>
      </c>
      <c r="B31">
        <v>3</v>
      </c>
      <c r="C31">
        <f>Assumptions!$B$5*Assumptions!$B$32*Assumptions!$B$6*D31</f>
      </c>
      <c r="D31">
        <f>IF(A31&lt;=3,Assumptions!$B$21,IF(A31&lt;=6,Assumptions!$B$22,IF(A31&lt;=12,Assumptions!$B$23,Assumptions!$B$24)))/100</f>
      </c>
      <c r="E31">
        <f>Assumptions!$B$5*Assumptions!$B$33*Assumptions!$B$6*D31</f>
      </c>
      <c r="F31">
        <f>Assumptions!$B$5*Assumptions!$B$7*Assumptions!$B$6*D31</f>
      </c>
      <c r="G31">
        <f>Assumptions!$B$8</f>
      </c>
      <c r="H31">
        <f>IF(INDEX(Assumptions!$B$35:$B$47,B31)&lt;&gt;"",INDEX(Assumptions!$B$35:$B$47,B31)/100*Assumptions!$B$2,IF(B31&lt;=Assumptions!$B$17,0,IF(B31&lt;=Assumptions!$B$17+Assumptions!$B$18,Assumptions!$B$19,Assumptions!$B$20)))/12</f>
      </c>
      <c r="I31">
        <f>IF(Assumptions!$B$12="Cash",0,IF(A31&lt;=Assumptions!$B$15,Monthly!$S$1,0))</f>
      </c>
      <c r="J31">
        <f>E31-F31-G31-H31-I31</f>
      </c>
      <c r="K31">
        <f>IF(AND(A31-CEILING(Assumptions!$E$27/30,1)&gt;=1,A31-CEILING(Assumptions!$E$27/30,1)&lt;=156),INDEX($E$2:$E$157,A31-CEILING(Assumptions!$E$27/30,1))*Assumptions!$B$27/100,0)</f>
      </c>
      <c r="L31">
        <f>IF(AND(A31-CEILING(Assumptions!$E$28/30,1)&gt;=1,A31-CEILING(Assumptions!$E$28/30,1)&lt;=156),INDEX($E$2:$E$157,A31-CEILING(Assumptions!$E$28/30,1))*Assumptions!$B$28/100,0)</f>
      </c>
      <c r="M31">
        <f>IF(AND(A31-CEILING(Assumptions!$E$29/30,1)&gt;=1,A31-CEILING(Assumptions!$E$29/30,1)&lt;=156),INDEX($E$2:$E$157,A31-CEILING(Assumptions!$E$29/30,1))*Assumptions!$B$29/100,0)</f>
      </c>
      <c r="N31">
        <f>IF(AND(A31-CEILING(Assumptions!$E$30/30,1)&gt;=1,A31-CEILING(Assumptions!$E$30/30,1)&lt;=156),INDEX($E$2:$E$157,A31-CEILING(Assumptions!$E$30/30,1))*Assumptions!$B$30/100,0)</f>
      </c>
      <c r="O31">
        <f>IF(AND(A31-CEILING(Assumptions!$E$31/30,1)&gt;=1,A31-CEILING(Assumptions!$E$31/30,1)&lt;=156),INDEX($E$2:$E$157,A31-CEILING(Assumptions!$E$31/30,1))*Assumptions!$B$31/100,0)</f>
      </c>
      <c r="P31">
        <f>K31+L31+M31+N31+O31</f>
      </c>
    </row>
    <row r="32" spans="1:16" x14ac:dyDescent="0.25">
      <c r="A32">
        <v>31</v>
      </c>
      <c r="B32">
        <v>3</v>
      </c>
      <c r="C32">
        <f>Assumptions!$B$5*Assumptions!$B$32*Assumptions!$B$6*D32</f>
      </c>
      <c r="D32">
        <f>IF(A32&lt;=3,Assumptions!$B$21,IF(A32&lt;=6,Assumptions!$B$22,IF(A32&lt;=12,Assumptions!$B$23,Assumptions!$B$24)))/100</f>
      </c>
      <c r="E32">
        <f>Assumptions!$B$5*Assumptions!$B$33*Assumptions!$B$6*D32</f>
      </c>
      <c r="F32">
        <f>Assumptions!$B$5*Assumptions!$B$7*Assumptions!$B$6*D32</f>
      </c>
      <c r="G32">
        <f>Assumptions!$B$8</f>
      </c>
      <c r="H32">
        <f>IF(INDEX(Assumptions!$B$35:$B$47,B32)&lt;&gt;"",INDEX(Assumptions!$B$35:$B$47,B32)/100*Assumptions!$B$2,IF(B32&lt;=Assumptions!$B$17,0,IF(B32&lt;=Assumptions!$B$17+Assumptions!$B$18,Assumptions!$B$19,Assumptions!$B$20)))/12</f>
      </c>
      <c r="I32">
        <f>IF(Assumptions!$B$12="Cash",0,IF(A32&lt;=Assumptions!$B$15,Monthly!$S$1,0))</f>
      </c>
      <c r="J32">
        <f>E32-F32-G32-H32-I32</f>
      </c>
      <c r="K32">
        <f>IF(AND(A32-CEILING(Assumptions!$E$27/30,1)&gt;=1,A32-CEILING(Assumptions!$E$27/30,1)&lt;=156),INDEX($E$2:$E$157,A32-CEILING(Assumptions!$E$27/30,1))*Assumptions!$B$27/100,0)</f>
      </c>
      <c r="L32">
        <f>IF(AND(A32-CEILING(Assumptions!$E$28/30,1)&gt;=1,A32-CEILING(Assumptions!$E$28/30,1)&lt;=156),INDEX($E$2:$E$157,A32-CEILING(Assumptions!$E$28/30,1))*Assumptions!$B$28/100,0)</f>
      </c>
      <c r="M32">
        <f>IF(AND(A32-CEILING(Assumptions!$E$29/30,1)&gt;=1,A32-CEILING(Assumptions!$E$29/30,1)&lt;=156),INDEX($E$2:$E$157,A32-CEILING(Assumptions!$E$29/30,1))*Assumptions!$B$29/100,0)</f>
      </c>
      <c r="N32">
        <f>IF(AND(A32-CEILING(Assumptions!$E$30/30,1)&gt;=1,A32-CEILING(Assumptions!$E$30/30,1)&lt;=156),INDEX($E$2:$E$157,A32-CEILING(Assumptions!$E$30/30,1))*Assumptions!$B$30/100,0)</f>
      </c>
      <c r="O32">
        <f>IF(AND(A32-CEILING(Assumptions!$E$31/30,1)&gt;=1,A32-CEILING(Assumptions!$E$31/30,1)&lt;=156),INDEX($E$2:$E$157,A32-CEILING(Assumptions!$E$31/30,1))*Assumptions!$B$31/100,0)</f>
      </c>
      <c r="P32">
        <f>K32+L32+M32+N32+O32</f>
      </c>
    </row>
    <row r="33" spans="1:16" x14ac:dyDescent="0.25">
      <c r="A33">
        <v>32</v>
      </c>
      <c r="B33">
        <v>3</v>
      </c>
      <c r="C33">
        <f>Assumptions!$B$5*Assumptions!$B$32*Assumptions!$B$6*D33</f>
      </c>
      <c r="D33">
        <f>IF(A33&lt;=3,Assumptions!$B$21,IF(A33&lt;=6,Assumptions!$B$22,IF(A33&lt;=12,Assumptions!$B$23,Assumptions!$B$24)))/100</f>
      </c>
      <c r="E33">
        <f>Assumptions!$B$5*Assumptions!$B$33*Assumptions!$B$6*D33</f>
      </c>
      <c r="F33">
        <f>Assumptions!$B$5*Assumptions!$B$7*Assumptions!$B$6*D33</f>
      </c>
      <c r="G33">
        <f>Assumptions!$B$8</f>
      </c>
      <c r="H33">
        <f>IF(INDEX(Assumptions!$B$35:$B$47,B33)&lt;&gt;"",INDEX(Assumptions!$B$35:$B$47,B33)/100*Assumptions!$B$2,IF(B33&lt;=Assumptions!$B$17,0,IF(B33&lt;=Assumptions!$B$17+Assumptions!$B$18,Assumptions!$B$19,Assumptions!$B$20)))/12</f>
      </c>
      <c r="I33">
        <f>IF(Assumptions!$B$12="Cash",0,IF(A33&lt;=Assumptions!$B$15,Monthly!$S$1,0))</f>
      </c>
      <c r="J33">
        <f>E33-F33-G33-H33-I33</f>
      </c>
      <c r="K33">
        <f>IF(AND(A33-CEILING(Assumptions!$E$27/30,1)&gt;=1,A33-CEILING(Assumptions!$E$27/30,1)&lt;=156),INDEX($E$2:$E$157,A33-CEILING(Assumptions!$E$27/30,1))*Assumptions!$B$27/100,0)</f>
      </c>
      <c r="L33">
        <f>IF(AND(A33-CEILING(Assumptions!$E$28/30,1)&gt;=1,A33-CEILING(Assumptions!$E$28/30,1)&lt;=156),INDEX($E$2:$E$157,A33-CEILING(Assumptions!$E$28/30,1))*Assumptions!$B$28/100,0)</f>
      </c>
      <c r="M33">
        <f>IF(AND(A33-CEILING(Assumptions!$E$29/30,1)&gt;=1,A33-CEILING(Assumptions!$E$29/30,1)&lt;=156),INDEX($E$2:$E$157,A33-CEILING(Assumptions!$E$29/30,1))*Assumptions!$B$29/100,0)</f>
      </c>
      <c r="N33">
        <f>IF(AND(A33-CEILING(Assumptions!$E$30/30,1)&gt;=1,A33-CEILING(Assumptions!$E$30/30,1)&lt;=156),INDEX($E$2:$E$157,A33-CEILING(Assumptions!$E$30/30,1))*Assumptions!$B$30/100,0)</f>
      </c>
      <c r="O33">
        <f>IF(AND(A33-CEILING(Assumptions!$E$31/30,1)&gt;=1,A33-CEILING(Assumptions!$E$31/30,1)&lt;=156),INDEX($E$2:$E$157,A33-CEILING(Assumptions!$E$31/30,1))*Assumptions!$B$31/100,0)</f>
      </c>
      <c r="P33">
        <f>K33+L33+M33+N33+O33</f>
      </c>
    </row>
    <row r="34" spans="1:16" x14ac:dyDescent="0.25">
      <c r="A34">
        <v>33</v>
      </c>
      <c r="B34">
        <v>3</v>
      </c>
      <c r="C34">
        <f>Assumptions!$B$5*Assumptions!$B$32*Assumptions!$B$6*D34</f>
      </c>
      <c r="D34">
        <f>IF(A34&lt;=3,Assumptions!$B$21,IF(A34&lt;=6,Assumptions!$B$22,IF(A34&lt;=12,Assumptions!$B$23,Assumptions!$B$24)))/100</f>
      </c>
      <c r="E34">
        <f>Assumptions!$B$5*Assumptions!$B$33*Assumptions!$B$6*D34</f>
      </c>
      <c r="F34">
        <f>Assumptions!$B$5*Assumptions!$B$7*Assumptions!$B$6*D34</f>
      </c>
      <c r="G34">
        <f>Assumptions!$B$8</f>
      </c>
      <c r="H34">
        <f>IF(INDEX(Assumptions!$B$35:$B$47,B34)&lt;&gt;"",INDEX(Assumptions!$B$35:$B$47,B34)/100*Assumptions!$B$2,IF(B34&lt;=Assumptions!$B$17,0,IF(B34&lt;=Assumptions!$B$17+Assumptions!$B$18,Assumptions!$B$19,Assumptions!$B$20)))/12</f>
      </c>
      <c r="I34">
        <f>IF(Assumptions!$B$12="Cash",0,IF(A34&lt;=Assumptions!$B$15,Monthly!$S$1,0))</f>
      </c>
      <c r="J34">
        <f>E34-F34-G34-H34-I34</f>
      </c>
      <c r="K34">
        <f>IF(AND(A34-CEILING(Assumptions!$E$27/30,1)&gt;=1,A34-CEILING(Assumptions!$E$27/30,1)&lt;=156),INDEX($E$2:$E$157,A34-CEILING(Assumptions!$E$27/30,1))*Assumptions!$B$27/100,0)</f>
      </c>
      <c r="L34">
        <f>IF(AND(A34-CEILING(Assumptions!$E$28/30,1)&gt;=1,A34-CEILING(Assumptions!$E$28/30,1)&lt;=156),INDEX($E$2:$E$157,A34-CEILING(Assumptions!$E$28/30,1))*Assumptions!$B$28/100,0)</f>
      </c>
      <c r="M34">
        <f>IF(AND(A34-CEILING(Assumptions!$E$29/30,1)&gt;=1,A34-CEILING(Assumptions!$E$29/30,1)&lt;=156),INDEX($E$2:$E$157,A34-CEILING(Assumptions!$E$29/30,1))*Assumptions!$B$29/100,0)</f>
      </c>
      <c r="N34">
        <f>IF(AND(A34-CEILING(Assumptions!$E$30/30,1)&gt;=1,A34-CEILING(Assumptions!$E$30/30,1)&lt;=156),INDEX($E$2:$E$157,A34-CEILING(Assumptions!$E$30/30,1))*Assumptions!$B$30/100,0)</f>
      </c>
      <c r="O34">
        <f>IF(AND(A34-CEILING(Assumptions!$E$31/30,1)&gt;=1,A34-CEILING(Assumptions!$E$31/30,1)&lt;=156),INDEX($E$2:$E$157,A34-CEILING(Assumptions!$E$31/30,1))*Assumptions!$B$31/100,0)</f>
      </c>
      <c r="P34">
        <f>K34+L34+M34+N34+O34</f>
      </c>
    </row>
    <row r="35" spans="1:16" x14ac:dyDescent="0.25">
      <c r="A35">
        <v>34</v>
      </c>
      <c r="B35">
        <v>3</v>
      </c>
      <c r="C35">
        <f>Assumptions!$B$5*Assumptions!$B$32*Assumptions!$B$6*D35</f>
      </c>
      <c r="D35">
        <f>IF(A35&lt;=3,Assumptions!$B$21,IF(A35&lt;=6,Assumptions!$B$22,IF(A35&lt;=12,Assumptions!$B$23,Assumptions!$B$24)))/100</f>
      </c>
      <c r="E35">
        <f>Assumptions!$B$5*Assumptions!$B$33*Assumptions!$B$6*D35</f>
      </c>
      <c r="F35">
        <f>Assumptions!$B$5*Assumptions!$B$7*Assumptions!$B$6*D35</f>
      </c>
      <c r="G35">
        <f>Assumptions!$B$8</f>
      </c>
      <c r="H35">
        <f>IF(INDEX(Assumptions!$B$35:$B$47,B35)&lt;&gt;"",INDEX(Assumptions!$B$35:$B$47,B35)/100*Assumptions!$B$2,IF(B35&lt;=Assumptions!$B$17,0,IF(B35&lt;=Assumptions!$B$17+Assumptions!$B$18,Assumptions!$B$19,Assumptions!$B$20)))/12</f>
      </c>
      <c r="I35">
        <f>IF(Assumptions!$B$12="Cash",0,IF(A35&lt;=Assumptions!$B$15,Monthly!$S$1,0))</f>
      </c>
      <c r="J35">
        <f>E35-F35-G35-H35-I35</f>
      </c>
      <c r="K35">
        <f>IF(AND(A35-CEILING(Assumptions!$E$27/30,1)&gt;=1,A35-CEILING(Assumptions!$E$27/30,1)&lt;=156),INDEX($E$2:$E$157,A35-CEILING(Assumptions!$E$27/30,1))*Assumptions!$B$27/100,0)</f>
      </c>
      <c r="L35">
        <f>IF(AND(A35-CEILING(Assumptions!$E$28/30,1)&gt;=1,A35-CEILING(Assumptions!$E$28/30,1)&lt;=156),INDEX($E$2:$E$157,A35-CEILING(Assumptions!$E$28/30,1))*Assumptions!$B$28/100,0)</f>
      </c>
      <c r="M35">
        <f>IF(AND(A35-CEILING(Assumptions!$E$29/30,1)&gt;=1,A35-CEILING(Assumptions!$E$29/30,1)&lt;=156),INDEX($E$2:$E$157,A35-CEILING(Assumptions!$E$29/30,1))*Assumptions!$B$29/100,0)</f>
      </c>
      <c r="N35">
        <f>IF(AND(A35-CEILING(Assumptions!$E$30/30,1)&gt;=1,A35-CEILING(Assumptions!$E$30/30,1)&lt;=156),INDEX($E$2:$E$157,A35-CEILING(Assumptions!$E$30/30,1))*Assumptions!$B$30/100,0)</f>
      </c>
      <c r="O35">
        <f>IF(AND(A35-CEILING(Assumptions!$E$31/30,1)&gt;=1,A35-CEILING(Assumptions!$E$31/30,1)&lt;=156),INDEX($E$2:$E$157,A35-CEILING(Assumptions!$E$31/30,1))*Assumptions!$B$31/100,0)</f>
      </c>
      <c r="P35">
        <f>K35+L35+M35+N35+O35</f>
      </c>
    </row>
    <row r="36" spans="1:16" x14ac:dyDescent="0.25">
      <c r="A36">
        <v>35</v>
      </c>
      <c r="B36">
        <v>3</v>
      </c>
      <c r="C36">
        <f>Assumptions!$B$5*Assumptions!$B$32*Assumptions!$B$6*D36</f>
      </c>
      <c r="D36">
        <f>IF(A36&lt;=3,Assumptions!$B$21,IF(A36&lt;=6,Assumptions!$B$22,IF(A36&lt;=12,Assumptions!$B$23,Assumptions!$B$24)))/100</f>
      </c>
      <c r="E36">
        <f>Assumptions!$B$5*Assumptions!$B$33*Assumptions!$B$6*D36</f>
      </c>
      <c r="F36">
        <f>Assumptions!$B$5*Assumptions!$B$7*Assumptions!$B$6*D36</f>
      </c>
      <c r="G36">
        <f>Assumptions!$B$8</f>
      </c>
      <c r="H36">
        <f>IF(INDEX(Assumptions!$B$35:$B$47,B36)&lt;&gt;"",INDEX(Assumptions!$B$35:$B$47,B36)/100*Assumptions!$B$2,IF(B36&lt;=Assumptions!$B$17,0,IF(B36&lt;=Assumptions!$B$17+Assumptions!$B$18,Assumptions!$B$19,Assumptions!$B$20)))/12</f>
      </c>
      <c r="I36">
        <f>IF(Assumptions!$B$12="Cash",0,IF(A36&lt;=Assumptions!$B$15,Monthly!$S$1,0))</f>
      </c>
      <c r="J36">
        <f>E36-F36-G36-H36-I36</f>
      </c>
      <c r="K36">
        <f>IF(AND(A36-CEILING(Assumptions!$E$27/30,1)&gt;=1,A36-CEILING(Assumptions!$E$27/30,1)&lt;=156),INDEX($E$2:$E$157,A36-CEILING(Assumptions!$E$27/30,1))*Assumptions!$B$27/100,0)</f>
      </c>
      <c r="L36">
        <f>IF(AND(A36-CEILING(Assumptions!$E$28/30,1)&gt;=1,A36-CEILING(Assumptions!$E$28/30,1)&lt;=156),INDEX($E$2:$E$157,A36-CEILING(Assumptions!$E$28/30,1))*Assumptions!$B$28/100,0)</f>
      </c>
      <c r="M36">
        <f>IF(AND(A36-CEILING(Assumptions!$E$29/30,1)&gt;=1,A36-CEILING(Assumptions!$E$29/30,1)&lt;=156),INDEX($E$2:$E$157,A36-CEILING(Assumptions!$E$29/30,1))*Assumptions!$B$29/100,0)</f>
      </c>
      <c r="N36">
        <f>IF(AND(A36-CEILING(Assumptions!$E$30/30,1)&gt;=1,A36-CEILING(Assumptions!$E$30/30,1)&lt;=156),INDEX($E$2:$E$157,A36-CEILING(Assumptions!$E$30/30,1))*Assumptions!$B$30/100,0)</f>
      </c>
      <c r="O36">
        <f>IF(AND(A36-CEILING(Assumptions!$E$31/30,1)&gt;=1,A36-CEILING(Assumptions!$E$31/30,1)&lt;=156),INDEX($E$2:$E$157,A36-CEILING(Assumptions!$E$31/30,1))*Assumptions!$B$31/100,0)</f>
      </c>
      <c r="P36">
        <f>K36+L36+M36+N36+O36</f>
      </c>
    </row>
    <row r="37" spans="1:16" x14ac:dyDescent="0.25">
      <c r="A37">
        <v>36</v>
      </c>
      <c r="B37">
        <v>3</v>
      </c>
      <c r="C37">
        <f>Assumptions!$B$5*Assumptions!$B$32*Assumptions!$B$6*D37</f>
      </c>
      <c r="D37">
        <f>IF(A37&lt;=3,Assumptions!$B$21,IF(A37&lt;=6,Assumptions!$B$22,IF(A37&lt;=12,Assumptions!$B$23,Assumptions!$B$24)))/100</f>
      </c>
      <c r="E37">
        <f>Assumptions!$B$5*Assumptions!$B$33*Assumptions!$B$6*D37</f>
      </c>
      <c r="F37">
        <f>Assumptions!$B$5*Assumptions!$B$7*Assumptions!$B$6*D37</f>
      </c>
      <c r="G37">
        <f>Assumptions!$B$8</f>
      </c>
      <c r="H37">
        <f>IF(INDEX(Assumptions!$B$35:$B$47,B37)&lt;&gt;"",INDEX(Assumptions!$B$35:$B$47,B37)/100*Assumptions!$B$2,IF(B37&lt;=Assumptions!$B$17,0,IF(B37&lt;=Assumptions!$B$17+Assumptions!$B$18,Assumptions!$B$19,Assumptions!$B$20)))/12</f>
      </c>
      <c r="I37">
        <f>IF(Assumptions!$B$12="Cash",0,IF(A37&lt;=Assumptions!$B$15,Monthly!$S$1,0))</f>
      </c>
      <c r="J37">
        <f>E37-F37-G37-H37-I37</f>
      </c>
      <c r="K37">
        <f>IF(AND(A37-CEILING(Assumptions!$E$27/30,1)&gt;=1,A37-CEILING(Assumptions!$E$27/30,1)&lt;=156),INDEX($E$2:$E$157,A37-CEILING(Assumptions!$E$27/30,1))*Assumptions!$B$27/100,0)</f>
      </c>
      <c r="L37">
        <f>IF(AND(A37-CEILING(Assumptions!$E$28/30,1)&gt;=1,A37-CEILING(Assumptions!$E$28/30,1)&lt;=156),INDEX($E$2:$E$157,A37-CEILING(Assumptions!$E$28/30,1))*Assumptions!$B$28/100,0)</f>
      </c>
      <c r="M37">
        <f>IF(AND(A37-CEILING(Assumptions!$E$29/30,1)&gt;=1,A37-CEILING(Assumptions!$E$29/30,1)&lt;=156),INDEX($E$2:$E$157,A37-CEILING(Assumptions!$E$29/30,1))*Assumptions!$B$29/100,0)</f>
      </c>
      <c r="N37">
        <f>IF(AND(A37-CEILING(Assumptions!$E$30/30,1)&gt;=1,A37-CEILING(Assumptions!$E$30/30,1)&lt;=156),INDEX($E$2:$E$157,A37-CEILING(Assumptions!$E$30/30,1))*Assumptions!$B$30/100,0)</f>
      </c>
      <c r="O37">
        <f>IF(AND(A37-CEILING(Assumptions!$E$31/30,1)&gt;=1,A37-CEILING(Assumptions!$E$31/30,1)&lt;=156),INDEX($E$2:$E$157,A37-CEILING(Assumptions!$E$31/30,1))*Assumptions!$B$31/100,0)</f>
      </c>
      <c r="P37">
        <f>K37+L37+M37+N37+O37</f>
      </c>
    </row>
    <row r="38" spans="1:16" x14ac:dyDescent="0.25">
      <c r="A38">
        <v>37</v>
      </c>
      <c r="B38">
        <v>4</v>
      </c>
      <c r="C38">
        <f>Assumptions!$B$5*Assumptions!$B$32*Assumptions!$B$6*D38</f>
      </c>
      <c r="D38">
        <f>IF(A38&lt;=3,Assumptions!$B$21,IF(A38&lt;=6,Assumptions!$B$22,IF(A38&lt;=12,Assumptions!$B$23,Assumptions!$B$24)))/100</f>
      </c>
      <c r="E38">
        <f>Assumptions!$B$5*Assumptions!$B$33*Assumptions!$B$6*D38</f>
      </c>
      <c r="F38">
        <f>Assumptions!$B$5*Assumptions!$B$7*Assumptions!$B$6*D38</f>
      </c>
      <c r="G38">
        <f>Assumptions!$B$8</f>
      </c>
      <c r="H38">
        <f>IF(INDEX(Assumptions!$B$35:$B$47,B38)&lt;&gt;"",INDEX(Assumptions!$B$35:$B$47,B38)/100*Assumptions!$B$2,IF(B38&lt;=Assumptions!$B$17,0,IF(B38&lt;=Assumptions!$B$17+Assumptions!$B$18,Assumptions!$B$19,Assumptions!$B$20)))/12</f>
      </c>
      <c r="I38">
        <f>IF(Assumptions!$B$12="Cash",0,IF(A38&lt;=Assumptions!$B$15,Monthly!$S$1,0))</f>
      </c>
      <c r="J38">
        <f>E38-F38-G38-H38-I38</f>
      </c>
      <c r="K38">
        <f>IF(AND(A38-CEILING(Assumptions!$E$27/30,1)&gt;=1,A38-CEILING(Assumptions!$E$27/30,1)&lt;=156),INDEX($E$2:$E$157,A38-CEILING(Assumptions!$E$27/30,1))*Assumptions!$B$27/100,0)</f>
      </c>
      <c r="L38">
        <f>IF(AND(A38-CEILING(Assumptions!$E$28/30,1)&gt;=1,A38-CEILING(Assumptions!$E$28/30,1)&lt;=156),INDEX($E$2:$E$157,A38-CEILING(Assumptions!$E$28/30,1))*Assumptions!$B$28/100,0)</f>
      </c>
      <c r="M38">
        <f>IF(AND(A38-CEILING(Assumptions!$E$29/30,1)&gt;=1,A38-CEILING(Assumptions!$E$29/30,1)&lt;=156),INDEX($E$2:$E$157,A38-CEILING(Assumptions!$E$29/30,1))*Assumptions!$B$29/100,0)</f>
      </c>
      <c r="N38">
        <f>IF(AND(A38-CEILING(Assumptions!$E$30/30,1)&gt;=1,A38-CEILING(Assumptions!$E$30/30,1)&lt;=156),INDEX($E$2:$E$157,A38-CEILING(Assumptions!$E$30/30,1))*Assumptions!$B$30/100,0)</f>
      </c>
      <c r="O38">
        <f>IF(AND(A38-CEILING(Assumptions!$E$31/30,1)&gt;=1,A38-CEILING(Assumptions!$E$31/30,1)&lt;=156),INDEX($E$2:$E$157,A38-CEILING(Assumptions!$E$31/30,1))*Assumptions!$B$31/100,0)</f>
      </c>
      <c r="P38">
        <f>K38+L38+M38+N38+O38</f>
      </c>
    </row>
    <row r="39" spans="1:16" x14ac:dyDescent="0.25">
      <c r="A39">
        <v>38</v>
      </c>
      <c r="B39">
        <v>4</v>
      </c>
      <c r="C39">
        <f>Assumptions!$B$5*Assumptions!$B$32*Assumptions!$B$6*D39</f>
      </c>
      <c r="D39">
        <f>IF(A39&lt;=3,Assumptions!$B$21,IF(A39&lt;=6,Assumptions!$B$22,IF(A39&lt;=12,Assumptions!$B$23,Assumptions!$B$24)))/100</f>
      </c>
      <c r="E39">
        <f>Assumptions!$B$5*Assumptions!$B$33*Assumptions!$B$6*D39</f>
      </c>
      <c r="F39">
        <f>Assumptions!$B$5*Assumptions!$B$7*Assumptions!$B$6*D39</f>
      </c>
      <c r="G39">
        <f>Assumptions!$B$8</f>
      </c>
      <c r="H39">
        <f>IF(INDEX(Assumptions!$B$35:$B$47,B39)&lt;&gt;"",INDEX(Assumptions!$B$35:$B$47,B39)/100*Assumptions!$B$2,IF(B39&lt;=Assumptions!$B$17,0,IF(B39&lt;=Assumptions!$B$17+Assumptions!$B$18,Assumptions!$B$19,Assumptions!$B$20)))/12</f>
      </c>
      <c r="I39">
        <f>IF(Assumptions!$B$12="Cash",0,IF(A39&lt;=Assumptions!$B$15,Monthly!$S$1,0))</f>
      </c>
      <c r="J39">
        <f>E39-F39-G39-H39-I39</f>
      </c>
      <c r="K39">
        <f>IF(AND(A39-CEILING(Assumptions!$E$27/30,1)&gt;=1,A39-CEILING(Assumptions!$E$27/30,1)&lt;=156),INDEX($E$2:$E$157,A39-CEILING(Assumptions!$E$27/30,1))*Assumptions!$B$27/100,0)</f>
      </c>
      <c r="L39">
        <f>IF(AND(A39-CEILING(Assumptions!$E$28/30,1)&gt;=1,A39-CEILING(Assumptions!$E$28/30,1)&lt;=156),INDEX($E$2:$E$157,A39-CEILING(Assumptions!$E$28/30,1))*Assumptions!$B$28/100,0)</f>
      </c>
      <c r="M39">
        <f>IF(AND(A39-CEILING(Assumptions!$E$29/30,1)&gt;=1,A39-CEILING(Assumptions!$E$29/30,1)&lt;=156),INDEX($E$2:$E$157,A39-CEILING(Assumptions!$E$29/30,1))*Assumptions!$B$29/100,0)</f>
      </c>
      <c r="N39">
        <f>IF(AND(A39-CEILING(Assumptions!$E$30/30,1)&gt;=1,A39-CEILING(Assumptions!$E$30/30,1)&lt;=156),INDEX($E$2:$E$157,A39-CEILING(Assumptions!$E$30/30,1))*Assumptions!$B$30/100,0)</f>
      </c>
      <c r="O39">
        <f>IF(AND(A39-CEILING(Assumptions!$E$31/30,1)&gt;=1,A39-CEILING(Assumptions!$E$31/30,1)&lt;=156),INDEX($E$2:$E$157,A39-CEILING(Assumptions!$E$31/30,1))*Assumptions!$B$31/100,0)</f>
      </c>
      <c r="P39">
        <f>K39+L39+M39+N39+O39</f>
      </c>
    </row>
    <row r="40" spans="1:16" x14ac:dyDescent="0.25">
      <c r="A40">
        <v>39</v>
      </c>
      <c r="B40">
        <v>4</v>
      </c>
      <c r="C40">
        <f>Assumptions!$B$5*Assumptions!$B$32*Assumptions!$B$6*D40</f>
      </c>
      <c r="D40">
        <f>IF(A40&lt;=3,Assumptions!$B$21,IF(A40&lt;=6,Assumptions!$B$22,IF(A40&lt;=12,Assumptions!$B$23,Assumptions!$B$24)))/100</f>
      </c>
      <c r="E40">
        <f>Assumptions!$B$5*Assumptions!$B$33*Assumptions!$B$6*D40</f>
      </c>
      <c r="F40">
        <f>Assumptions!$B$5*Assumptions!$B$7*Assumptions!$B$6*D40</f>
      </c>
      <c r="G40">
        <f>Assumptions!$B$8</f>
      </c>
      <c r="H40">
        <f>IF(INDEX(Assumptions!$B$35:$B$47,B40)&lt;&gt;"",INDEX(Assumptions!$B$35:$B$47,B40)/100*Assumptions!$B$2,IF(B40&lt;=Assumptions!$B$17,0,IF(B40&lt;=Assumptions!$B$17+Assumptions!$B$18,Assumptions!$B$19,Assumptions!$B$20)))/12</f>
      </c>
      <c r="I40">
        <f>IF(Assumptions!$B$12="Cash",0,IF(A40&lt;=Assumptions!$B$15,Monthly!$S$1,0))</f>
      </c>
      <c r="J40">
        <f>E40-F40-G40-H40-I40</f>
      </c>
      <c r="K40">
        <f>IF(AND(A40-CEILING(Assumptions!$E$27/30,1)&gt;=1,A40-CEILING(Assumptions!$E$27/30,1)&lt;=156),INDEX($E$2:$E$157,A40-CEILING(Assumptions!$E$27/30,1))*Assumptions!$B$27/100,0)</f>
      </c>
      <c r="L40">
        <f>IF(AND(A40-CEILING(Assumptions!$E$28/30,1)&gt;=1,A40-CEILING(Assumptions!$E$28/30,1)&lt;=156),INDEX($E$2:$E$157,A40-CEILING(Assumptions!$E$28/30,1))*Assumptions!$B$28/100,0)</f>
      </c>
      <c r="M40">
        <f>IF(AND(A40-CEILING(Assumptions!$E$29/30,1)&gt;=1,A40-CEILING(Assumptions!$E$29/30,1)&lt;=156),INDEX($E$2:$E$157,A40-CEILING(Assumptions!$E$29/30,1))*Assumptions!$B$29/100,0)</f>
      </c>
      <c r="N40">
        <f>IF(AND(A40-CEILING(Assumptions!$E$30/30,1)&gt;=1,A40-CEILING(Assumptions!$E$30/30,1)&lt;=156),INDEX($E$2:$E$157,A40-CEILING(Assumptions!$E$30/30,1))*Assumptions!$B$30/100,0)</f>
      </c>
      <c r="O40">
        <f>IF(AND(A40-CEILING(Assumptions!$E$31/30,1)&gt;=1,A40-CEILING(Assumptions!$E$31/30,1)&lt;=156),INDEX($E$2:$E$157,A40-CEILING(Assumptions!$E$31/30,1))*Assumptions!$B$31/100,0)</f>
      </c>
      <c r="P40">
        <f>K40+L40+M40+N40+O40</f>
      </c>
    </row>
    <row r="41" spans="1:16" x14ac:dyDescent="0.25">
      <c r="A41">
        <v>40</v>
      </c>
      <c r="B41">
        <v>4</v>
      </c>
      <c r="C41">
        <f>Assumptions!$B$5*Assumptions!$B$32*Assumptions!$B$6*D41</f>
      </c>
      <c r="D41">
        <f>IF(A41&lt;=3,Assumptions!$B$21,IF(A41&lt;=6,Assumptions!$B$22,IF(A41&lt;=12,Assumptions!$B$23,Assumptions!$B$24)))/100</f>
      </c>
      <c r="E41">
        <f>Assumptions!$B$5*Assumptions!$B$33*Assumptions!$B$6*D41</f>
      </c>
      <c r="F41">
        <f>Assumptions!$B$5*Assumptions!$B$7*Assumptions!$B$6*D41</f>
      </c>
      <c r="G41">
        <f>Assumptions!$B$8</f>
      </c>
      <c r="H41">
        <f>IF(INDEX(Assumptions!$B$35:$B$47,B41)&lt;&gt;"",INDEX(Assumptions!$B$35:$B$47,B41)/100*Assumptions!$B$2,IF(B41&lt;=Assumptions!$B$17,0,IF(B41&lt;=Assumptions!$B$17+Assumptions!$B$18,Assumptions!$B$19,Assumptions!$B$20)))/12</f>
      </c>
      <c r="I41">
        <f>IF(Assumptions!$B$12="Cash",0,IF(A41&lt;=Assumptions!$B$15,Monthly!$S$1,0))</f>
      </c>
      <c r="J41">
        <f>E41-F41-G41-H41-I41</f>
      </c>
      <c r="K41">
        <f>IF(AND(A41-CEILING(Assumptions!$E$27/30,1)&gt;=1,A41-CEILING(Assumptions!$E$27/30,1)&lt;=156),INDEX($E$2:$E$157,A41-CEILING(Assumptions!$E$27/30,1))*Assumptions!$B$27/100,0)</f>
      </c>
      <c r="L41">
        <f>IF(AND(A41-CEILING(Assumptions!$E$28/30,1)&gt;=1,A41-CEILING(Assumptions!$E$28/30,1)&lt;=156),INDEX($E$2:$E$157,A41-CEILING(Assumptions!$E$28/30,1))*Assumptions!$B$28/100,0)</f>
      </c>
      <c r="M41">
        <f>IF(AND(A41-CEILING(Assumptions!$E$29/30,1)&gt;=1,A41-CEILING(Assumptions!$E$29/30,1)&lt;=156),INDEX($E$2:$E$157,A41-CEILING(Assumptions!$E$29/30,1))*Assumptions!$B$29/100,0)</f>
      </c>
      <c r="N41">
        <f>IF(AND(A41-CEILING(Assumptions!$E$30/30,1)&gt;=1,A41-CEILING(Assumptions!$E$30/30,1)&lt;=156),INDEX($E$2:$E$157,A41-CEILING(Assumptions!$E$30/30,1))*Assumptions!$B$30/100,0)</f>
      </c>
      <c r="O41">
        <f>IF(AND(A41-CEILING(Assumptions!$E$31/30,1)&gt;=1,A41-CEILING(Assumptions!$E$31/30,1)&lt;=156),INDEX($E$2:$E$157,A41-CEILING(Assumptions!$E$31/30,1))*Assumptions!$B$31/100,0)</f>
      </c>
      <c r="P41">
        <f>K41+L41+M41+N41+O41</f>
      </c>
    </row>
    <row r="42" spans="1:16" x14ac:dyDescent="0.25">
      <c r="A42">
        <v>41</v>
      </c>
      <c r="B42">
        <v>4</v>
      </c>
      <c r="C42">
        <f>Assumptions!$B$5*Assumptions!$B$32*Assumptions!$B$6*D42</f>
      </c>
      <c r="D42">
        <f>IF(A42&lt;=3,Assumptions!$B$21,IF(A42&lt;=6,Assumptions!$B$22,IF(A42&lt;=12,Assumptions!$B$23,Assumptions!$B$24)))/100</f>
      </c>
      <c r="E42">
        <f>Assumptions!$B$5*Assumptions!$B$33*Assumptions!$B$6*D42</f>
      </c>
      <c r="F42">
        <f>Assumptions!$B$5*Assumptions!$B$7*Assumptions!$B$6*D42</f>
      </c>
      <c r="G42">
        <f>Assumptions!$B$8</f>
      </c>
      <c r="H42">
        <f>IF(INDEX(Assumptions!$B$35:$B$47,B42)&lt;&gt;"",INDEX(Assumptions!$B$35:$B$47,B42)/100*Assumptions!$B$2,IF(B42&lt;=Assumptions!$B$17,0,IF(B42&lt;=Assumptions!$B$17+Assumptions!$B$18,Assumptions!$B$19,Assumptions!$B$20)))/12</f>
      </c>
      <c r="I42">
        <f>IF(Assumptions!$B$12="Cash",0,IF(A42&lt;=Assumptions!$B$15,Monthly!$S$1,0))</f>
      </c>
      <c r="J42">
        <f>E42-F42-G42-H42-I42</f>
      </c>
      <c r="K42">
        <f>IF(AND(A42-CEILING(Assumptions!$E$27/30,1)&gt;=1,A42-CEILING(Assumptions!$E$27/30,1)&lt;=156),INDEX($E$2:$E$157,A42-CEILING(Assumptions!$E$27/30,1))*Assumptions!$B$27/100,0)</f>
      </c>
      <c r="L42">
        <f>IF(AND(A42-CEILING(Assumptions!$E$28/30,1)&gt;=1,A42-CEILING(Assumptions!$E$28/30,1)&lt;=156),INDEX($E$2:$E$157,A42-CEILING(Assumptions!$E$28/30,1))*Assumptions!$B$28/100,0)</f>
      </c>
      <c r="M42">
        <f>IF(AND(A42-CEILING(Assumptions!$E$29/30,1)&gt;=1,A42-CEILING(Assumptions!$E$29/30,1)&lt;=156),INDEX($E$2:$E$157,A42-CEILING(Assumptions!$E$29/30,1))*Assumptions!$B$29/100,0)</f>
      </c>
      <c r="N42">
        <f>IF(AND(A42-CEILING(Assumptions!$E$30/30,1)&gt;=1,A42-CEILING(Assumptions!$E$30/30,1)&lt;=156),INDEX($E$2:$E$157,A42-CEILING(Assumptions!$E$30/30,1))*Assumptions!$B$30/100,0)</f>
      </c>
      <c r="O42">
        <f>IF(AND(A42-CEILING(Assumptions!$E$31/30,1)&gt;=1,A42-CEILING(Assumptions!$E$31/30,1)&lt;=156),INDEX($E$2:$E$157,A42-CEILING(Assumptions!$E$31/30,1))*Assumptions!$B$31/100,0)</f>
      </c>
      <c r="P42">
        <f>K42+L42+M42+N42+O42</f>
      </c>
    </row>
    <row r="43" spans="1:16" x14ac:dyDescent="0.25">
      <c r="A43">
        <v>42</v>
      </c>
      <c r="B43">
        <v>4</v>
      </c>
      <c r="C43">
        <f>Assumptions!$B$5*Assumptions!$B$32*Assumptions!$B$6*D43</f>
      </c>
      <c r="D43">
        <f>IF(A43&lt;=3,Assumptions!$B$21,IF(A43&lt;=6,Assumptions!$B$22,IF(A43&lt;=12,Assumptions!$B$23,Assumptions!$B$24)))/100</f>
      </c>
      <c r="E43">
        <f>Assumptions!$B$5*Assumptions!$B$33*Assumptions!$B$6*D43</f>
      </c>
      <c r="F43">
        <f>Assumptions!$B$5*Assumptions!$B$7*Assumptions!$B$6*D43</f>
      </c>
      <c r="G43">
        <f>Assumptions!$B$8</f>
      </c>
      <c r="H43">
        <f>IF(INDEX(Assumptions!$B$35:$B$47,B43)&lt;&gt;"",INDEX(Assumptions!$B$35:$B$47,B43)/100*Assumptions!$B$2,IF(B43&lt;=Assumptions!$B$17,0,IF(B43&lt;=Assumptions!$B$17+Assumptions!$B$18,Assumptions!$B$19,Assumptions!$B$20)))/12</f>
      </c>
      <c r="I43">
        <f>IF(Assumptions!$B$12="Cash",0,IF(A43&lt;=Assumptions!$B$15,Monthly!$S$1,0))</f>
      </c>
      <c r="J43">
        <f>E43-F43-G43-H43-I43</f>
      </c>
      <c r="K43">
        <f>IF(AND(A43-CEILING(Assumptions!$E$27/30,1)&gt;=1,A43-CEILING(Assumptions!$E$27/30,1)&lt;=156),INDEX($E$2:$E$157,A43-CEILING(Assumptions!$E$27/30,1))*Assumptions!$B$27/100,0)</f>
      </c>
      <c r="L43">
        <f>IF(AND(A43-CEILING(Assumptions!$E$28/30,1)&gt;=1,A43-CEILING(Assumptions!$E$28/30,1)&lt;=156),INDEX($E$2:$E$157,A43-CEILING(Assumptions!$E$28/30,1))*Assumptions!$B$28/100,0)</f>
      </c>
      <c r="M43">
        <f>IF(AND(A43-CEILING(Assumptions!$E$29/30,1)&gt;=1,A43-CEILING(Assumptions!$E$29/30,1)&lt;=156),INDEX($E$2:$E$157,A43-CEILING(Assumptions!$E$29/30,1))*Assumptions!$B$29/100,0)</f>
      </c>
      <c r="N43">
        <f>IF(AND(A43-CEILING(Assumptions!$E$30/30,1)&gt;=1,A43-CEILING(Assumptions!$E$30/30,1)&lt;=156),INDEX($E$2:$E$157,A43-CEILING(Assumptions!$E$30/30,1))*Assumptions!$B$30/100,0)</f>
      </c>
      <c r="O43">
        <f>IF(AND(A43-CEILING(Assumptions!$E$31/30,1)&gt;=1,A43-CEILING(Assumptions!$E$31/30,1)&lt;=156),INDEX($E$2:$E$157,A43-CEILING(Assumptions!$E$31/30,1))*Assumptions!$B$31/100,0)</f>
      </c>
      <c r="P43">
        <f>K43+L43+M43+N43+O43</f>
      </c>
    </row>
    <row r="44" spans="1:16" x14ac:dyDescent="0.25">
      <c r="A44">
        <v>43</v>
      </c>
      <c r="B44">
        <v>4</v>
      </c>
      <c r="C44">
        <f>Assumptions!$B$5*Assumptions!$B$32*Assumptions!$B$6*D44</f>
      </c>
      <c r="D44">
        <f>IF(A44&lt;=3,Assumptions!$B$21,IF(A44&lt;=6,Assumptions!$B$22,IF(A44&lt;=12,Assumptions!$B$23,Assumptions!$B$24)))/100</f>
      </c>
      <c r="E44">
        <f>Assumptions!$B$5*Assumptions!$B$33*Assumptions!$B$6*D44</f>
      </c>
      <c r="F44">
        <f>Assumptions!$B$5*Assumptions!$B$7*Assumptions!$B$6*D44</f>
      </c>
      <c r="G44">
        <f>Assumptions!$B$8</f>
      </c>
      <c r="H44">
        <f>IF(INDEX(Assumptions!$B$35:$B$47,B44)&lt;&gt;"",INDEX(Assumptions!$B$35:$B$47,B44)/100*Assumptions!$B$2,IF(B44&lt;=Assumptions!$B$17,0,IF(B44&lt;=Assumptions!$B$17+Assumptions!$B$18,Assumptions!$B$19,Assumptions!$B$20)))/12</f>
      </c>
      <c r="I44">
        <f>IF(Assumptions!$B$12="Cash",0,IF(A44&lt;=Assumptions!$B$15,Monthly!$S$1,0))</f>
      </c>
      <c r="J44">
        <f>E44-F44-G44-H44-I44</f>
      </c>
      <c r="K44">
        <f>IF(AND(A44-CEILING(Assumptions!$E$27/30,1)&gt;=1,A44-CEILING(Assumptions!$E$27/30,1)&lt;=156),INDEX($E$2:$E$157,A44-CEILING(Assumptions!$E$27/30,1))*Assumptions!$B$27/100,0)</f>
      </c>
      <c r="L44">
        <f>IF(AND(A44-CEILING(Assumptions!$E$28/30,1)&gt;=1,A44-CEILING(Assumptions!$E$28/30,1)&lt;=156),INDEX($E$2:$E$157,A44-CEILING(Assumptions!$E$28/30,1))*Assumptions!$B$28/100,0)</f>
      </c>
      <c r="M44">
        <f>IF(AND(A44-CEILING(Assumptions!$E$29/30,1)&gt;=1,A44-CEILING(Assumptions!$E$29/30,1)&lt;=156),INDEX($E$2:$E$157,A44-CEILING(Assumptions!$E$29/30,1))*Assumptions!$B$29/100,0)</f>
      </c>
      <c r="N44">
        <f>IF(AND(A44-CEILING(Assumptions!$E$30/30,1)&gt;=1,A44-CEILING(Assumptions!$E$30/30,1)&lt;=156),INDEX($E$2:$E$157,A44-CEILING(Assumptions!$E$30/30,1))*Assumptions!$B$30/100,0)</f>
      </c>
      <c r="O44">
        <f>IF(AND(A44-CEILING(Assumptions!$E$31/30,1)&gt;=1,A44-CEILING(Assumptions!$E$31/30,1)&lt;=156),INDEX($E$2:$E$157,A44-CEILING(Assumptions!$E$31/30,1))*Assumptions!$B$31/100,0)</f>
      </c>
      <c r="P44">
        <f>K44+L44+M44+N44+O44</f>
      </c>
    </row>
    <row r="45" spans="1:16" x14ac:dyDescent="0.25">
      <c r="A45">
        <v>44</v>
      </c>
      <c r="B45">
        <v>4</v>
      </c>
      <c r="C45">
        <f>Assumptions!$B$5*Assumptions!$B$32*Assumptions!$B$6*D45</f>
      </c>
      <c r="D45">
        <f>IF(A45&lt;=3,Assumptions!$B$21,IF(A45&lt;=6,Assumptions!$B$22,IF(A45&lt;=12,Assumptions!$B$23,Assumptions!$B$24)))/100</f>
      </c>
      <c r="E45">
        <f>Assumptions!$B$5*Assumptions!$B$33*Assumptions!$B$6*D45</f>
      </c>
      <c r="F45">
        <f>Assumptions!$B$5*Assumptions!$B$7*Assumptions!$B$6*D45</f>
      </c>
      <c r="G45">
        <f>Assumptions!$B$8</f>
      </c>
      <c r="H45">
        <f>IF(INDEX(Assumptions!$B$35:$B$47,B45)&lt;&gt;"",INDEX(Assumptions!$B$35:$B$47,B45)/100*Assumptions!$B$2,IF(B45&lt;=Assumptions!$B$17,0,IF(B45&lt;=Assumptions!$B$17+Assumptions!$B$18,Assumptions!$B$19,Assumptions!$B$20)))/12</f>
      </c>
      <c r="I45">
        <f>IF(Assumptions!$B$12="Cash",0,IF(A45&lt;=Assumptions!$B$15,Monthly!$S$1,0))</f>
      </c>
      <c r="J45">
        <f>E45-F45-G45-H45-I45</f>
      </c>
      <c r="K45">
        <f>IF(AND(A45-CEILING(Assumptions!$E$27/30,1)&gt;=1,A45-CEILING(Assumptions!$E$27/30,1)&lt;=156),INDEX($E$2:$E$157,A45-CEILING(Assumptions!$E$27/30,1))*Assumptions!$B$27/100,0)</f>
      </c>
      <c r="L45">
        <f>IF(AND(A45-CEILING(Assumptions!$E$28/30,1)&gt;=1,A45-CEILING(Assumptions!$E$28/30,1)&lt;=156),INDEX($E$2:$E$157,A45-CEILING(Assumptions!$E$28/30,1))*Assumptions!$B$28/100,0)</f>
      </c>
      <c r="M45">
        <f>IF(AND(A45-CEILING(Assumptions!$E$29/30,1)&gt;=1,A45-CEILING(Assumptions!$E$29/30,1)&lt;=156),INDEX($E$2:$E$157,A45-CEILING(Assumptions!$E$29/30,1))*Assumptions!$B$29/100,0)</f>
      </c>
      <c r="N45">
        <f>IF(AND(A45-CEILING(Assumptions!$E$30/30,1)&gt;=1,A45-CEILING(Assumptions!$E$30/30,1)&lt;=156),INDEX($E$2:$E$157,A45-CEILING(Assumptions!$E$30/30,1))*Assumptions!$B$30/100,0)</f>
      </c>
      <c r="O45">
        <f>IF(AND(A45-CEILING(Assumptions!$E$31/30,1)&gt;=1,A45-CEILING(Assumptions!$E$31/30,1)&lt;=156),INDEX($E$2:$E$157,A45-CEILING(Assumptions!$E$31/30,1))*Assumptions!$B$31/100,0)</f>
      </c>
      <c r="P45">
        <f>K45+L45+M45+N45+O45</f>
      </c>
    </row>
    <row r="46" spans="1:16" x14ac:dyDescent="0.25">
      <c r="A46">
        <v>45</v>
      </c>
      <c r="B46">
        <v>4</v>
      </c>
      <c r="C46">
        <f>Assumptions!$B$5*Assumptions!$B$32*Assumptions!$B$6*D46</f>
      </c>
      <c r="D46">
        <f>IF(A46&lt;=3,Assumptions!$B$21,IF(A46&lt;=6,Assumptions!$B$22,IF(A46&lt;=12,Assumptions!$B$23,Assumptions!$B$24)))/100</f>
      </c>
      <c r="E46">
        <f>Assumptions!$B$5*Assumptions!$B$33*Assumptions!$B$6*D46</f>
      </c>
      <c r="F46">
        <f>Assumptions!$B$5*Assumptions!$B$7*Assumptions!$B$6*D46</f>
      </c>
      <c r="G46">
        <f>Assumptions!$B$8</f>
      </c>
      <c r="H46">
        <f>IF(INDEX(Assumptions!$B$35:$B$47,B46)&lt;&gt;"",INDEX(Assumptions!$B$35:$B$47,B46)/100*Assumptions!$B$2,IF(B46&lt;=Assumptions!$B$17,0,IF(B46&lt;=Assumptions!$B$17+Assumptions!$B$18,Assumptions!$B$19,Assumptions!$B$20)))/12</f>
      </c>
      <c r="I46">
        <f>IF(Assumptions!$B$12="Cash",0,IF(A46&lt;=Assumptions!$B$15,Monthly!$S$1,0))</f>
      </c>
      <c r="J46">
        <f>E46-F46-G46-H46-I46</f>
      </c>
      <c r="K46">
        <f>IF(AND(A46-CEILING(Assumptions!$E$27/30,1)&gt;=1,A46-CEILING(Assumptions!$E$27/30,1)&lt;=156),INDEX($E$2:$E$157,A46-CEILING(Assumptions!$E$27/30,1))*Assumptions!$B$27/100,0)</f>
      </c>
      <c r="L46">
        <f>IF(AND(A46-CEILING(Assumptions!$E$28/30,1)&gt;=1,A46-CEILING(Assumptions!$E$28/30,1)&lt;=156),INDEX($E$2:$E$157,A46-CEILING(Assumptions!$E$28/30,1))*Assumptions!$B$28/100,0)</f>
      </c>
      <c r="M46">
        <f>IF(AND(A46-CEILING(Assumptions!$E$29/30,1)&gt;=1,A46-CEILING(Assumptions!$E$29/30,1)&lt;=156),INDEX($E$2:$E$157,A46-CEILING(Assumptions!$E$29/30,1))*Assumptions!$B$29/100,0)</f>
      </c>
      <c r="N46">
        <f>IF(AND(A46-CEILING(Assumptions!$E$30/30,1)&gt;=1,A46-CEILING(Assumptions!$E$30/30,1)&lt;=156),INDEX($E$2:$E$157,A46-CEILING(Assumptions!$E$30/30,1))*Assumptions!$B$30/100,0)</f>
      </c>
      <c r="O46">
        <f>IF(AND(A46-CEILING(Assumptions!$E$31/30,1)&gt;=1,A46-CEILING(Assumptions!$E$31/30,1)&lt;=156),INDEX($E$2:$E$157,A46-CEILING(Assumptions!$E$31/30,1))*Assumptions!$B$31/100,0)</f>
      </c>
      <c r="P46">
        <f>K46+L46+M46+N46+O46</f>
      </c>
    </row>
    <row r="47" spans="1:16" x14ac:dyDescent="0.25">
      <c r="A47">
        <v>46</v>
      </c>
      <c r="B47">
        <v>4</v>
      </c>
      <c r="C47">
        <f>Assumptions!$B$5*Assumptions!$B$32*Assumptions!$B$6*D47</f>
      </c>
      <c r="D47">
        <f>IF(A47&lt;=3,Assumptions!$B$21,IF(A47&lt;=6,Assumptions!$B$22,IF(A47&lt;=12,Assumptions!$B$23,Assumptions!$B$24)))/100</f>
      </c>
      <c r="E47">
        <f>Assumptions!$B$5*Assumptions!$B$33*Assumptions!$B$6*D47</f>
      </c>
      <c r="F47">
        <f>Assumptions!$B$5*Assumptions!$B$7*Assumptions!$B$6*D47</f>
      </c>
      <c r="G47">
        <f>Assumptions!$B$8</f>
      </c>
      <c r="H47">
        <f>IF(INDEX(Assumptions!$B$35:$B$47,B47)&lt;&gt;"",INDEX(Assumptions!$B$35:$B$47,B47)/100*Assumptions!$B$2,IF(B47&lt;=Assumptions!$B$17,0,IF(B47&lt;=Assumptions!$B$17+Assumptions!$B$18,Assumptions!$B$19,Assumptions!$B$20)))/12</f>
      </c>
      <c r="I47">
        <f>IF(Assumptions!$B$12="Cash",0,IF(A47&lt;=Assumptions!$B$15,Monthly!$S$1,0))</f>
      </c>
      <c r="J47">
        <f>E47-F47-G47-H47-I47</f>
      </c>
      <c r="K47">
        <f>IF(AND(A47-CEILING(Assumptions!$E$27/30,1)&gt;=1,A47-CEILING(Assumptions!$E$27/30,1)&lt;=156),INDEX($E$2:$E$157,A47-CEILING(Assumptions!$E$27/30,1))*Assumptions!$B$27/100,0)</f>
      </c>
      <c r="L47">
        <f>IF(AND(A47-CEILING(Assumptions!$E$28/30,1)&gt;=1,A47-CEILING(Assumptions!$E$28/30,1)&lt;=156),INDEX($E$2:$E$157,A47-CEILING(Assumptions!$E$28/30,1))*Assumptions!$B$28/100,0)</f>
      </c>
      <c r="M47">
        <f>IF(AND(A47-CEILING(Assumptions!$E$29/30,1)&gt;=1,A47-CEILING(Assumptions!$E$29/30,1)&lt;=156),INDEX($E$2:$E$157,A47-CEILING(Assumptions!$E$29/30,1))*Assumptions!$B$29/100,0)</f>
      </c>
      <c r="N47">
        <f>IF(AND(A47-CEILING(Assumptions!$E$30/30,1)&gt;=1,A47-CEILING(Assumptions!$E$30/30,1)&lt;=156),INDEX($E$2:$E$157,A47-CEILING(Assumptions!$E$30/30,1))*Assumptions!$B$30/100,0)</f>
      </c>
      <c r="O47">
        <f>IF(AND(A47-CEILING(Assumptions!$E$31/30,1)&gt;=1,A47-CEILING(Assumptions!$E$31/30,1)&lt;=156),INDEX($E$2:$E$157,A47-CEILING(Assumptions!$E$31/30,1))*Assumptions!$B$31/100,0)</f>
      </c>
      <c r="P47">
        <f>K47+L47+M47+N47+O47</f>
      </c>
    </row>
    <row r="48" spans="1:16" x14ac:dyDescent="0.25">
      <c r="A48">
        <v>47</v>
      </c>
      <c r="B48">
        <v>4</v>
      </c>
      <c r="C48">
        <f>Assumptions!$B$5*Assumptions!$B$32*Assumptions!$B$6*D48</f>
      </c>
      <c r="D48">
        <f>IF(A48&lt;=3,Assumptions!$B$21,IF(A48&lt;=6,Assumptions!$B$22,IF(A48&lt;=12,Assumptions!$B$23,Assumptions!$B$24)))/100</f>
      </c>
      <c r="E48">
        <f>Assumptions!$B$5*Assumptions!$B$33*Assumptions!$B$6*D48</f>
      </c>
      <c r="F48">
        <f>Assumptions!$B$5*Assumptions!$B$7*Assumptions!$B$6*D48</f>
      </c>
      <c r="G48">
        <f>Assumptions!$B$8</f>
      </c>
      <c r="H48">
        <f>IF(INDEX(Assumptions!$B$35:$B$47,B48)&lt;&gt;"",INDEX(Assumptions!$B$35:$B$47,B48)/100*Assumptions!$B$2,IF(B48&lt;=Assumptions!$B$17,0,IF(B48&lt;=Assumptions!$B$17+Assumptions!$B$18,Assumptions!$B$19,Assumptions!$B$20)))/12</f>
      </c>
      <c r="I48">
        <f>IF(Assumptions!$B$12="Cash",0,IF(A48&lt;=Assumptions!$B$15,Monthly!$S$1,0))</f>
      </c>
      <c r="J48">
        <f>E48-F48-G48-H48-I48</f>
      </c>
      <c r="K48">
        <f>IF(AND(A48-CEILING(Assumptions!$E$27/30,1)&gt;=1,A48-CEILING(Assumptions!$E$27/30,1)&lt;=156),INDEX($E$2:$E$157,A48-CEILING(Assumptions!$E$27/30,1))*Assumptions!$B$27/100,0)</f>
      </c>
      <c r="L48">
        <f>IF(AND(A48-CEILING(Assumptions!$E$28/30,1)&gt;=1,A48-CEILING(Assumptions!$E$28/30,1)&lt;=156),INDEX($E$2:$E$157,A48-CEILING(Assumptions!$E$28/30,1))*Assumptions!$B$28/100,0)</f>
      </c>
      <c r="M48">
        <f>IF(AND(A48-CEILING(Assumptions!$E$29/30,1)&gt;=1,A48-CEILING(Assumptions!$E$29/30,1)&lt;=156),INDEX($E$2:$E$157,A48-CEILING(Assumptions!$E$29/30,1))*Assumptions!$B$29/100,0)</f>
      </c>
      <c r="N48">
        <f>IF(AND(A48-CEILING(Assumptions!$E$30/30,1)&gt;=1,A48-CEILING(Assumptions!$E$30/30,1)&lt;=156),INDEX($E$2:$E$157,A48-CEILING(Assumptions!$E$30/30,1))*Assumptions!$B$30/100,0)</f>
      </c>
      <c r="O48">
        <f>IF(AND(A48-CEILING(Assumptions!$E$31/30,1)&gt;=1,A48-CEILING(Assumptions!$E$31/30,1)&lt;=156),INDEX($E$2:$E$157,A48-CEILING(Assumptions!$E$31/30,1))*Assumptions!$B$31/100,0)</f>
      </c>
      <c r="P48">
        <f>K48+L48+M48+N48+O48</f>
      </c>
    </row>
    <row r="49" spans="1:16" x14ac:dyDescent="0.25">
      <c r="A49">
        <v>48</v>
      </c>
      <c r="B49">
        <v>4</v>
      </c>
      <c r="C49">
        <f>Assumptions!$B$5*Assumptions!$B$32*Assumptions!$B$6*D49</f>
      </c>
      <c r="D49">
        <f>IF(A49&lt;=3,Assumptions!$B$21,IF(A49&lt;=6,Assumptions!$B$22,IF(A49&lt;=12,Assumptions!$B$23,Assumptions!$B$24)))/100</f>
      </c>
      <c r="E49">
        <f>Assumptions!$B$5*Assumptions!$B$33*Assumptions!$B$6*D49</f>
      </c>
      <c r="F49">
        <f>Assumptions!$B$5*Assumptions!$B$7*Assumptions!$B$6*D49</f>
      </c>
      <c r="G49">
        <f>Assumptions!$B$8</f>
      </c>
      <c r="H49">
        <f>IF(INDEX(Assumptions!$B$35:$B$47,B49)&lt;&gt;"",INDEX(Assumptions!$B$35:$B$47,B49)/100*Assumptions!$B$2,IF(B49&lt;=Assumptions!$B$17,0,IF(B49&lt;=Assumptions!$B$17+Assumptions!$B$18,Assumptions!$B$19,Assumptions!$B$20)))/12</f>
      </c>
      <c r="I49">
        <f>IF(Assumptions!$B$12="Cash",0,IF(A49&lt;=Assumptions!$B$15,Monthly!$S$1,0))</f>
      </c>
      <c r="J49">
        <f>E49-F49-G49-H49-I49</f>
      </c>
      <c r="K49">
        <f>IF(AND(A49-CEILING(Assumptions!$E$27/30,1)&gt;=1,A49-CEILING(Assumptions!$E$27/30,1)&lt;=156),INDEX($E$2:$E$157,A49-CEILING(Assumptions!$E$27/30,1))*Assumptions!$B$27/100,0)</f>
      </c>
      <c r="L49">
        <f>IF(AND(A49-CEILING(Assumptions!$E$28/30,1)&gt;=1,A49-CEILING(Assumptions!$E$28/30,1)&lt;=156),INDEX($E$2:$E$157,A49-CEILING(Assumptions!$E$28/30,1))*Assumptions!$B$28/100,0)</f>
      </c>
      <c r="M49">
        <f>IF(AND(A49-CEILING(Assumptions!$E$29/30,1)&gt;=1,A49-CEILING(Assumptions!$E$29/30,1)&lt;=156),INDEX($E$2:$E$157,A49-CEILING(Assumptions!$E$29/30,1))*Assumptions!$B$29/100,0)</f>
      </c>
      <c r="N49">
        <f>IF(AND(A49-CEILING(Assumptions!$E$30/30,1)&gt;=1,A49-CEILING(Assumptions!$E$30/30,1)&lt;=156),INDEX($E$2:$E$157,A49-CEILING(Assumptions!$E$30/30,1))*Assumptions!$B$30/100,0)</f>
      </c>
      <c r="O49">
        <f>IF(AND(A49-CEILING(Assumptions!$E$31/30,1)&gt;=1,A49-CEILING(Assumptions!$E$31/30,1)&lt;=156),INDEX($E$2:$E$157,A49-CEILING(Assumptions!$E$31/30,1))*Assumptions!$B$31/100,0)</f>
      </c>
      <c r="P49">
        <f>K49+L49+M49+N49+O49</f>
      </c>
    </row>
    <row r="50" spans="1:16" x14ac:dyDescent="0.25">
      <c r="A50">
        <v>49</v>
      </c>
      <c r="B50">
        <v>5</v>
      </c>
      <c r="C50">
        <f>Assumptions!$B$5*Assumptions!$B$32*Assumptions!$B$6*D50</f>
      </c>
      <c r="D50">
        <f>IF(A50&lt;=3,Assumptions!$B$21,IF(A50&lt;=6,Assumptions!$B$22,IF(A50&lt;=12,Assumptions!$B$23,Assumptions!$B$24)))/100</f>
      </c>
      <c r="E50">
        <f>Assumptions!$B$5*Assumptions!$B$33*Assumptions!$B$6*D50</f>
      </c>
      <c r="F50">
        <f>Assumptions!$B$5*Assumptions!$B$7*Assumptions!$B$6*D50</f>
      </c>
      <c r="G50">
        <f>Assumptions!$B$8</f>
      </c>
      <c r="H50">
        <f>IF(INDEX(Assumptions!$B$35:$B$47,B50)&lt;&gt;"",INDEX(Assumptions!$B$35:$B$47,B50)/100*Assumptions!$B$2,IF(B50&lt;=Assumptions!$B$17,0,IF(B50&lt;=Assumptions!$B$17+Assumptions!$B$18,Assumptions!$B$19,Assumptions!$B$20)))/12</f>
      </c>
      <c r="I50">
        <f>IF(Assumptions!$B$12="Cash",0,IF(A50&lt;=Assumptions!$B$15,Monthly!$S$1,0))</f>
      </c>
      <c r="J50">
        <f>E50-F50-G50-H50-I50</f>
      </c>
      <c r="K50">
        <f>IF(AND(A50-CEILING(Assumptions!$E$27/30,1)&gt;=1,A50-CEILING(Assumptions!$E$27/30,1)&lt;=156),INDEX($E$2:$E$157,A50-CEILING(Assumptions!$E$27/30,1))*Assumptions!$B$27/100,0)</f>
      </c>
      <c r="L50">
        <f>IF(AND(A50-CEILING(Assumptions!$E$28/30,1)&gt;=1,A50-CEILING(Assumptions!$E$28/30,1)&lt;=156),INDEX($E$2:$E$157,A50-CEILING(Assumptions!$E$28/30,1))*Assumptions!$B$28/100,0)</f>
      </c>
      <c r="M50">
        <f>IF(AND(A50-CEILING(Assumptions!$E$29/30,1)&gt;=1,A50-CEILING(Assumptions!$E$29/30,1)&lt;=156),INDEX($E$2:$E$157,A50-CEILING(Assumptions!$E$29/30,1))*Assumptions!$B$29/100,0)</f>
      </c>
      <c r="N50">
        <f>IF(AND(A50-CEILING(Assumptions!$E$30/30,1)&gt;=1,A50-CEILING(Assumptions!$E$30/30,1)&lt;=156),INDEX($E$2:$E$157,A50-CEILING(Assumptions!$E$30/30,1))*Assumptions!$B$30/100,0)</f>
      </c>
      <c r="O50">
        <f>IF(AND(A50-CEILING(Assumptions!$E$31/30,1)&gt;=1,A50-CEILING(Assumptions!$E$31/30,1)&lt;=156),INDEX($E$2:$E$157,A50-CEILING(Assumptions!$E$31/30,1))*Assumptions!$B$31/100,0)</f>
      </c>
      <c r="P50">
        <f>K50+L50+M50+N50+O50</f>
      </c>
    </row>
    <row r="51" spans="1:16" x14ac:dyDescent="0.25">
      <c r="A51">
        <v>50</v>
      </c>
      <c r="B51">
        <v>5</v>
      </c>
      <c r="C51">
        <f>Assumptions!$B$5*Assumptions!$B$32*Assumptions!$B$6*D51</f>
      </c>
      <c r="D51">
        <f>IF(A51&lt;=3,Assumptions!$B$21,IF(A51&lt;=6,Assumptions!$B$22,IF(A51&lt;=12,Assumptions!$B$23,Assumptions!$B$24)))/100</f>
      </c>
      <c r="E51">
        <f>Assumptions!$B$5*Assumptions!$B$33*Assumptions!$B$6*D51</f>
      </c>
      <c r="F51">
        <f>Assumptions!$B$5*Assumptions!$B$7*Assumptions!$B$6*D51</f>
      </c>
      <c r="G51">
        <f>Assumptions!$B$8</f>
      </c>
      <c r="H51">
        <f>IF(INDEX(Assumptions!$B$35:$B$47,B51)&lt;&gt;"",INDEX(Assumptions!$B$35:$B$47,B51)/100*Assumptions!$B$2,IF(B51&lt;=Assumptions!$B$17,0,IF(B51&lt;=Assumptions!$B$17+Assumptions!$B$18,Assumptions!$B$19,Assumptions!$B$20)))/12</f>
      </c>
      <c r="I51">
        <f>IF(Assumptions!$B$12="Cash",0,IF(A51&lt;=Assumptions!$B$15,Monthly!$S$1,0))</f>
      </c>
      <c r="J51">
        <f>E51-F51-G51-H51-I51</f>
      </c>
      <c r="K51">
        <f>IF(AND(A51-CEILING(Assumptions!$E$27/30,1)&gt;=1,A51-CEILING(Assumptions!$E$27/30,1)&lt;=156),INDEX($E$2:$E$157,A51-CEILING(Assumptions!$E$27/30,1))*Assumptions!$B$27/100,0)</f>
      </c>
      <c r="L51">
        <f>IF(AND(A51-CEILING(Assumptions!$E$28/30,1)&gt;=1,A51-CEILING(Assumptions!$E$28/30,1)&lt;=156),INDEX($E$2:$E$157,A51-CEILING(Assumptions!$E$28/30,1))*Assumptions!$B$28/100,0)</f>
      </c>
      <c r="M51">
        <f>IF(AND(A51-CEILING(Assumptions!$E$29/30,1)&gt;=1,A51-CEILING(Assumptions!$E$29/30,1)&lt;=156),INDEX($E$2:$E$157,A51-CEILING(Assumptions!$E$29/30,1))*Assumptions!$B$29/100,0)</f>
      </c>
      <c r="N51">
        <f>IF(AND(A51-CEILING(Assumptions!$E$30/30,1)&gt;=1,A51-CEILING(Assumptions!$E$30/30,1)&lt;=156),INDEX($E$2:$E$157,A51-CEILING(Assumptions!$E$30/30,1))*Assumptions!$B$30/100,0)</f>
      </c>
      <c r="O51">
        <f>IF(AND(A51-CEILING(Assumptions!$E$31/30,1)&gt;=1,A51-CEILING(Assumptions!$E$31/30,1)&lt;=156),INDEX($E$2:$E$157,A51-CEILING(Assumptions!$E$31/30,1))*Assumptions!$B$31/100,0)</f>
      </c>
      <c r="P51">
        <f>K51+L51+M51+N51+O51</f>
      </c>
    </row>
    <row r="52" spans="1:16" x14ac:dyDescent="0.25">
      <c r="A52">
        <v>51</v>
      </c>
      <c r="B52">
        <v>5</v>
      </c>
      <c r="C52">
        <f>Assumptions!$B$5*Assumptions!$B$32*Assumptions!$B$6*D52</f>
      </c>
      <c r="D52">
        <f>IF(A52&lt;=3,Assumptions!$B$21,IF(A52&lt;=6,Assumptions!$B$22,IF(A52&lt;=12,Assumptions!$B$23,Assumptions!$B$24)))/100</f>
      </c>
      <c r="E52">
        <f>Assumptions!$B$5*Assumptions!$B$33*Assumptions!$B$6*D52</f>
      </c>
      <c r="F52">
        <f>Assumptions!$B$5*Assumptions!$B$7*Assumptions!$B$6*D52</f>
      </c>
      <c r="G52">
        <f>Assumptions!$B$8</f>
      </c>
      <c r="H52">
        <f>IF(INDEX(Assumptions!$B$35:$B$47,B52)&lt;&gt;"",INDEX(Assumptions!$B$35:$B$47,B52)/100*Assumptions!$B$2,IF(B52&lt;=Assumptions!$B$17,0,IF(B52&lt;=Assumptions!$B$17+Assumptions!$B$18,Assumptions!$B$19,Assumptions!$B$20)))/12</f>
      </c>
      <c r="I52">
        <f>IF(Assumptions!$B$12="Cash",0,IF(A52&lt;=Assumptions!$B$15,Monthly!$S$1,0))</f>
      </c>
      <c r="J52">
        <f>E52-F52-G52-H52-I52</f>
      </c>
      <c r="K52">
        <f>IF(AND(A52-CEILING(Assumptions!$E$27/30,1)&gt;=1,A52-CEILING(Assumptions!$E$27/30,1)&lt;=156),INDEX($E$2:$E$157,A52-CEILING(Assumptions!$E$27/30,1))*Assumptions!$B$27/100,0)</f>
      </c>
      <c r="L52">
        <f>IF(AND(A52-CEILING(Assumptions!$E$28/30,1)&gt;=1,A52-CEILING(Assumptions!$E$28/30,1)&lt;=156),INDEX($E$2:$E$157,A52-CEILING(Assumptions!$E$28/30,1))*Assumptions!$B$28/100,0)</f>
      </c>
      <c r="M52">
        <f>IF(AND(A52-CEILING(Assumptions!$E$29/30,1)&gt;=1,A52-CEILING(Assumptions!$E$29/30,1)&lt;=156),INDEX($E$2:$E$157,A52-CEILING(Assumptions!$E$29/30,1))*Assumptions!$B$29/100,0)</f>
      </c>
      <c r="N52">
        <f>IF(AND(A52-CEILING(Assumptions!$E$30/30,1)&gt;=1,A52-CEILING(Assumptions!$E$30/30,1)&lt;=156),INDEX($E$2:$E$157,A52-CEILING(Assumptions!$E$30/30,1))*Assumptions!$B$30/100,0)</f>
      </c>
      <c r="O52">
        <f>IF(AND(A52-CEILING(Assumptions!$E$31/30,1)&gt;=1,A52-CEILING(Assumptions!$E$31/30,1)&lt;=156),INDEX($E$2:$E$157,A52-CEILING(Assumptions!$E$31/30,1))*Assumptions!$B$31/100,0)</f>
      </c>
      <c r="P52">
        <f>K52+L52+M52+N52+O52</f>
      </c>
    </row>
    <row r="53" spans="1:16" x14ac:dyDescent="0.25">
      <c r="A53">
        <v>52</v>
      </c>
      <c r="B53">
        <v>5</v>
      </c>
      <c r="C53">
        <f>Assumptions!$B$5*Assumptions!$B$32*Assumptions!$B$6*D53</f>
      </c>
      <c r="D53">
        <f>IF(A53&lt;=3,Assumptions!$B$21,IF(A53&lt;=6,Assumptions!$B$22,IF(A53&lt;=12,Assumptions!$B$23,Assumptions!$B$24)))/100</f>
      </c>
      <c r="E53">
        <f>Assumptions!$B$5*Assumptions!$B$33*Assumptions!$B$6*D53</f>
      </c>
      <c r="F53">
        <f>Assumptions!$B$5*Assumptions!$B$7*Assumptions!$B$6*D53</f>
      </c>
      <c r="G53">
        <f>Assumptions!$B$8</f>
      </c>
      <c r="H53">
        <f>IF(INDEX(Assumptions!$B$35:$B$47,B53)&lt;&gt;"",INDEX(Assumptions!$B$35:$B$47,B53)/100*Assumptions!$B$2,IF(B53&lt;=Assumptions!$B$17,0,IF(B53&lt;=Assumptions!$B$17+Assumptions!$B$18,Assumptions!$B$19,Assumptions!$B$20)))/12</f>
      </c>
      <c r="I53">
        <f>IF(Assumptions!$B$12="Cash",0,IF(A53&lt;=Assumptions!$B$15,Monthly!$S$1,0))</f>
      </c>
      <c r="J53">
        <f>E53-F53-G53-H53-I53</f>
      </c>
      <c r="K53">
        <f>IF(AND(A53-CEILING(Assumptions!$E$27/30,1)&gt;=1,A53-CEILING(Assumptions!$E$27/30,1)&lt;=156),INDEX($E$2:$E$157,A53-CEILING(Assumptions!$E$27/30,1))*Assumptions!$B$27/100,0)</f>
      </c>
      <c r="L53">
        <f>IF(AND(A53-CEILING(Assumptions!$E$28/30,1)&gt;=1,A53-CEILING(Assumptions!$E$28/30,1)&lt;=156),INDEX($E$2:$E$157,A53-CEILING(Assumptions!$E$28/30,1))*Assumptions!$B$28/100,0)</f>
      </c>
      <c r="M53">
        <f>IF(AND(A53-CEILING(Assumptions!$E$29/30,1)&gt;=1,A53-CEILING(Assumptions!$E$29/30,1)&lt;=156),INDEX($E$2:$E$157,A53-CEILING(Assumptions!$E$29/30,1))*Assumptions!$B$29/100,0)</f>
      </c>
      <c r="N53">
        <f>IF(AND(A53-CEILING(Assumptions!$E$30/30,1)&gt;=1,A53-CEILING(Assumptions!$E$30/30,1)&lt;=156),INDEX($E$2:$E$157,A53-CEILING(Assumptions!$E$30/30,1))*Assumptions!$B$30/100,0)</f>
      </c>
      <c r="O53">
        <f>IF(AND(A53-CEILING(Assumptions!$E$31/30,1)&gt;=1,A53-CEILING(Assumptions!$E$31/30,1)&lt;=156),INDEX($E$2:$E$157,A53-CEILING(Assumptions!$E$31/30,1))*Assumptions!$B$31/100,0)</f>
      </c>
      <c r="P53">
        <f>K53+L53+M53+N53+O53</f>
      </c>
    </row>
    <row r="54" spans="1:16" x14ac:dyDescent="0.25">
      <c r="A54">
        <v>53</v>
      </c>
      <c r="B54">
        <v>5</v>
      </c>
      <c r="C54">
        <f>Assumptions!$B$5*Assumptions!$B$32*Assumptions!$B$6*D54</f>
      </c>
      <c r="D54">
        <f>IF(A54&lt;=3,Assumptions!$B$21,IF(A54&lt;=6,Assumptions!$B$22,IF(A54&lt;=12,Assumptions!$B$23,Assumptions!$B$24)))/100</f>
      </c>
      <c r="E54">
        <f>Assumptions!$B$5*Assumptions!$B$33*Assumptions!$B$6*D54</f>
      </c>
      <c r="F54">
        <f>Assumptions!$B$5*Assumptions!$B$7*Assumptions!$B$6*D54</f>
      </c>
      <c r="G54">
        <f>Assumptions!$B$8</f>
      </c>
      <c r="H54">
        <f>IF(INDEX(Assumptions!$B$35:$B$47,B54)&lt;&gt;"",INDEX(Assumptions!$B$35:$B$47,B54)/100*Assumptions!$B$2,IF(B54&lt;=Assumptions!$B$17,0,IF(B54&lt;=Assumptions!$B$17+Assumptions!$B$18,Assumptions!$B$19,Assumptions!$B$20)))/12</f>
      </c>
      <c r="I54">
        <f>IF(Assumptions!$B$12="Cash",0,IF(A54&lt;=Assumptions!$B$15,Monthly!$S$1,0))</f>
      </c>
      <c r="J54">
        <f>E54-F54-G54-H54-I54</f>
      </c>
      <c r="K54">
        <f>IF(AND(A54-CEILING(Assumptions!$E$27/30,1)&gt;=1,A54-CEILING(Assumptions!$E$27/30,1)&lt;=156),INDEX($E$2:$E$157,A54-CEILING(Assumptions!$E$27/30,1))*Assumptions!$B$27/100,0)</f>
      </c>
      <c r="L54">
        <f>IF(AND(A54-CEILING(Assumptions!$E$28/30,1)&gt;=1,A54-CEILING(Assumptions!$E$28/30,1)&lt;=156),INDEX($E$2:$E$157,A54-CEILING(Assumptions!$E$28/30,1))*Assumptions!$B$28/100,0)</f>
      </c>
      <c r="M54">
        <f>IF(AND(A54-CEILING(Assumptions!$E$29/30,1)&gt;=1,A54-CEILING(Assumptions!$E$29/30,1)&lt;=156),INDEX($E$2:$E$157,A54-CEILING(Assumptions!$E$29/30,1))*Assumptions!$B$29/100,0)</f>
      </c>
      <c r="N54">
        <f>IF(AND(A54-CEILING(Assumptions!$E$30/30,1)&gt;=1,A54-CEILING(Assumptions!$E$30/30,1)&lt;=156),INDEX($E$2:$E$157,A54-CEILING(Assumptions!$E$30/30,1))*Assumptions!$B$30/100,0)</f>
      </c>
      <c r="O54">
        <f>IF(AND(A54-CEILING(Assumptions!$E$31/30,1)&gt;=1,A54-CEILING(Assumptions!$E$31/30,1)&lt;=156),INDEX($E$2:$E$157,A54-CEILING(Assumptions!$E$31/30,1))*Assumptions!$B$31/100,0)</f>
      </c>
      <c r="P54">
        <f>K54+L54+M54+N54+O54</f>
      </c>
    </row>
    <row r="55" spans="1:16" x14ac:dyDescent="0.25">
      <c r="A55">
        <v>54</v>
      </c>
      <c r="B55">
        <v>5</v>
      </c>
      <c r="C55">
        <f>Assumptions!$B$5*Assumptions!$B$32*Assumptions!$B$6*D55</f>
      </c>
      <c r="D55">
        <f>IF(A55&lt;=3,Assumptions!$B$21,IF(A55&lt;=6,Assumptions!$B$22,IF(A55&lt;=12,Assumptions!$B$23,Assumptions!$B$24)))/100</f>
      </c>
      <c r="E55">
        <f>Assumptions!$B$5*Assumptions!$B$33*Assumptions!$B$6*D55</f>
      </c>
      <c r="F55">
        <f>Assumptions!$B$5*Assumptions!$B$7*Assumptions!$B$6*D55</f>
      </c>
      <c r="G55">
        <f>Assumptions!$B$8</f>
      </c>
      <c r="H55">
        <f>IF(INDEX(Assumptions!$B$35:$B$47,B55)&lt;&gt;"",INDEX(Assumptions!$B$35:$B$47,B55)/100*Assumptions!$B$2,IF(B55&lt;=Assumptions!$B$17,0,IF(B55&lt;=Assumptions!$B$17+Assumptions!$B$18,Assumptions!$B$19,Assumptions!$B$20)))/12</f>
      </c>
      <c r="I55">
        <f>IF(Assumptions!$B$12="Cash",0,IF(A55&lt;=Assumptions!$B$15,Monthly!$S$1,0))</f>
      </c>
      <c r="J55">
        <f>E55-F55-G55-H55-I55</f>
      </c>
      <c r="K55">
        <f>IF(AND(A55-CEILING(Assumptions!$E$27/30,1)&gt;=1,A55-CEILING(Assumptions!$E$27/30,1)&lt;=156),INDEX($E$2:$E$157,A55-CEILING(Assumptions!$E$27/30,1))*Assumptions!$B$27/100,0)</f>
      </c>
      <c r="L55">
        <f>IF(AND(A55-CEILING(Assumptions!$E$28/30,1)&gt;=1,A55-CEILING(Assumptions!$E$28/30,1)&lt;=156),INDEX($E$2:$E$157,A55-CEILING(Assumptions!$E$28/30,1))*Assumptions!$B$28/100,0)</f>
      </c>
      <c r="M55">
        <f>IF(AND(A55-CEILING(Assumptions!$E$29/30,1)&gt;=1,A55-CEILING(Assumptions!$E$29/30,1)&lt;=156),INDEX($E$2:$E$157,A55-CEILING(Assumptions!$E$29/30,1))*Assumptions!$B$29/100,0)</f>
      </c>
      <c r="N55">
        <f>IF(AND(A55-CEILING(Assumptions!$E$30/30,1)&gt;=1,A55-CEILING(Assumptions!$E$30/30,1)&lt;=156),INDEX($E$2:$E$157,A55-CEILING(Assumptions!$E$30/30,1))*Assumptions!$B$30/100,0)</f>
      </c>
      <c r="O55">
        <f>IF(AND(A55-CEILING(Assumptions!$E$31/30,1)&gt;=1,A55-CEILING(Assumptions!$E$31/30,1)&lt;=156),INDEX($E$2:$E$157,A55-CEILING(Assumptions!$E$31/30,1))*Assumptions!$B$31/100,0)</f>
      </c>
      <c r="P55">
        <f>K55+L55+M55+N55+O55</f>
      </c>
    </row>
    <row r="56" spans="1:16" x14ac:dyDescent="0.25">
      <c r="A56">
        <v>55</v>
      </c>
      <c r="B56">
        <v>5</v>
      </c>
      <c r="C56">
        <f>Assumptions!$B$5*Assumptions!$B$32*Assumptions!$B$6*D56</f>
      </c>
      <c r="D56">
        <f>IF(A56&lt;=3,Assumptions!$B$21,IF(A56&lt;=6,Assumptions!$B$22,IF(A56&lt;=12,Assumptions!$B$23,Assumptions!$B$24)))/100</f>
      </c>
      <c r="E56">
        <f>Assumptions!$B$5*Assumptions!$B$33*Assumptions!$B$6*D56</f>
      </c>
      <c r="F56">
        <f>Assumptions!$B$5*Assumptions!$B$7*Assumptions!$B$6*D56</f>
      </c>
      <c r="G56">
        <f>Assumptions!$B$8</f>
      </c>
      <c r="H56">
        <f>IF(INDEX(Assumptions!$B$35:$B$47,B56)&lt;&gt;"",INDEX(Assumptions!$B$35:$B$47,B56)/100*Assumptions!$B$2,IF(B56&lt;=Assumptions!$B$17,0,IF(B56&lt;=Assumptions!$B$17+Assumptions!$B$18,Assumptions!$B$19,Assumptions!$B$20)))/12</f>
      </c>
      <c r="I56">
        <f>IF(Assumptions!$B$12="Cash",0,IF(A56&lt;=Assumptions!$B$15,Monthly!$S$1,0))</f>
      </c>
      <c r="J56">
        <f>E56-F56-G56-H56-I56</f>
      </c>
      <c r="K56">
        <f>IF(AND(A56-CEILING(Assumptions!$E$27/30,1)&gt;=1,A56-CEILING(Assumptions!$E$27/30,1)&lt;=156),INDEX($E$2:$E$157,A56-CEILING(Assumptions!$E$27/30,1))*Assumptions!$B$27/100,0)</f>
      </c>
      <c r="L56">
        <f>IF(AND(A56-CEILING(Assumptions!$E$28/30,1)&gt;=1,A56-CEILING(Assumptions!$E$28/30,1)&lt;=156),INDEX($E$2:$E$157,A56-CEILING(Assumptions!$E$28/30,1))*Assumptions!$B$28/100,0)</f>
      </c>
      <c r="M56">
        <f>IF(AND(A56-CEILING(Assumptions!$E$29/30,1)&gt;=1,A56-CEILING(Assumptions!$E$29/30,1)&lt;=156),INDEX($E$2:$E$157,A56-CEILING(Assumptions!$E$29/30,1))*Assumptions!$B$29/100,0)</f>
      </c>
      <c r="N56">
        <f>IF(AND(A56-CEILING(Assumptions!$E$30/30,1)&gt;=1,A56-CEILING(Assumptions!$E$30/30,1)&lt;=156),INDEX($E$2:$E$157,A56-CEILING(Assumptions!$E$30/30,1))*Assumptions!$B$30/100,0)</f>
      </c>
      <c r="O56">
        <f>IF(AND(A56-CEILING(Assumptions!$E$31/30,1)&gt;=1,A56-CEILING(Assumptions!$E$31/30,1)&lt;=156),INDEX($E$2:$E$157,A56-CEILING(Assumptions!$E$31/30,1))*Assumptions!$B$31/100,0)</f>
      </c>
      <c r="P56">
        <f>K56+L56+M56+N56+O56</f>
      </c>
    </row>
    <row r="57" spans="1:16" x14ac:dyDescent="0.25">
      <c r="A57">
        <v>56</v>
      </c>
      <c r="B57">
        <v>5</v>
      </c>
      <c r="C57">
        <f>Assumptions!$B$5*Assumptions!$B$32*Assumptions!$B$6*D57</f>
      </c>
      <c r="D57">
        <f>IF(A57&lt;=3,Assumptions!$B$21,IF(A57&lt;=6,Assumptions!$B$22,IF(A57&lt;=12,Assumptions!$B$23,Assumptions!$B$24)))/100</f>
      </c>
      <c r="E57">
        <f>Assumptions!$B$5*Assumptions!$B$33*Assumptions!$B$6*D57</f>
      </c>
      <c r="F57">
        <f>Assumptions!$B$5*Assumptions!$B$7*Assumptions!$B$6*D57</f>
      </c>
      <c r="G57">
        <f>Assumptions!$B$8</f>
      </c>
      <c r="H57">
        <f>IF(INDEX(Assumptions!$B$35:$B$47,B57)&lt;&gt;"",INDEX(Assumptions!$B$35:$B$47,B57)/100*Assumptions!$B$2,IF(B57&lt;=Assumptions!$B$17,0,IF(B57&lt;=Assumptions!$B$17+Assumptions!$B$18,Assumptions!$B$19,Assumptions!$B$20)))/12</f>
      </c>
      <c r="I57">
        <f>IF(Assumptions!$B$12="Cash",0,IF(A57&lt;=Assumptions!$B$15,Monthly!$S$1,0))</f>
      </c>
      <c r="J57">
        <f>E57-F57-G57-H57-I57</f>
      </c>
      <c r="K57">
        <f>IF(AND(A57-CEILING(Assumptions!$E$27/30,1)&gt;=1,A57-CEILING(Assumptions!$E$27/30,1)&lt;=156),INDEX($E$2:$E$157,A57-CEILING(Assumptions!$E$27/30,1))*Assumptions!$B$27/100,0)</f>
      </c>
      <c r="L57">
        <f>IF(AND(A57-CEILING(Assumptions!$E$28/30,1)&gt;=1,A57-CEILING(Assumptions!$E$28/30,1)&lt;=156),INDEX($E$2:$E$157,A57-CEILING(Assumptions!$E$28/30,1))*Assumptions!$B$28/100,0)</f>
      </c>
      <c r="M57">
        <f>IF(AND(A57-CEILING(Assumptions!$E$29/30,1)&gt;=1,A57-CEILING(Assumptions!$E$29/30,1)&lt;=156),INDEX($E$2:$E$157,A57-CEILING(Assumptions!$E$29/30,1))*Assumptions!$B$29/100,0)</f>
      </c>
      <c r="N57">
        <f>IF(AND(A57-CEILING(Assumptions!$E$30/30,1)&gt;=1,A57-CEILING(Assumptions!$E$30/30,1)&lt;=156),INDEX($E$2:$E$157,A57-CEILING(Assumptions!$E$30/30,1))*Assumptions!$B$30/100,0)</f>
      </c>
      <c r="O57">
        <f>IF(AND(A57-CEILING(Assumptions!$E$31/30,1)&gt;=1,A57-CEILING(Assumptions!$E$31/30,1)&lt;=156),INDEX($E$2:$E$157,A57-CEILING(Assumptions!$E$31/30,1))*Assumptions!$B$31/100,0)</f>
      </c>
      <c r="P57">
        <f>K57+L57+M57+N57+O57</f>
      </c>
    </row>
    <row r="58" spans="1:16" x14ac:dyDescent="0.25">
      <c r="A58">
        <v>57</v>
      </c>
      <c r="B58">
        <v>5</v>
      </c>
      <c r="C58">
        <f>Assumptions!$B$5*Assumptions!$B$32*Assumptions!$B$6*D58</f>
      </c>
      <c r="D58">
        <f>IF(A58&lt;=3,Assumptions!$B$21,IF(A58&lt;=6,Assumptions!$B$22,IF(A58&lt;=12,Assumptions!$B$23,Assumptions!$B$24)))/100</f>
      </c>
      <c r="E58">
        <f>Assumptions!$B$5*Assumptions!$B$33*Assumptions!$B$6*D58</f>
      </c>
      <c r="F58">
        <f>Assumptions!$B$5*Assumptions!$B$7*Assumptions!$B$6*D58</f>
      </c>
      <c r="G58">
        <f>Assumptions!$B$8</f>
      </c>
      <c r="H58">
        <f>IF(INDEX(Assumptions!$B$35:$B$47,B58)&lt;&gt;"",INDEX(Assumptions!$B$35:$B$47,B58)/100*Assumptions!$B$2,IF(B58&lt;=Assumptions!$B$17,0,IF(B58&lt;=Assumptions!$B$17+Assumptions!$B$18,Assumptions!$B$19,Assumptions!$B$20)))/12</f>
      </c>
      <c r="I58">
        <f>IF(Assumptions!$B$12="Cash",0,IF(A58&lt;=Assumptions!$B$15,Monthly!$S$1,0))</f>
      </c>
      <c r="J58">
        <f>E58-F58-G58-H58-I58</f>
      </c>
      <c r="K58">
        <f>IF(AND(A58-CEILING(Assumptions!$E$27/30,1)&gt;=1,A58-CEILING(Assumptions!$E$27/30,1)&lt;=156),INDEX($E$2:$E$157,A58-CEILING(Assumptions!$E$27/30,1))*Assumptions!$B$27/100,0)</f>
      </c>
      <c r="L58">
        <f>IF(AND(A58-CEILING(Assumptions!$E$28/30,1)&gt;=1,A58-CEILING(Assumptions!$E$28/30,1)&lt;=156),INDEX($E$2:$E$157,A58-CEILING(Assumptions!$E$28/30,1))*Assumptions!$B$28/100,0)</f>
      </c>
      <c r="M58">
        <f>IF(AND(A58-CEILING(Assumptions!$E$29/30,1)&gt;=1,A58-CEILING(Assumptions!$E$29/30,1)&lt;=156),INDEX($E$2:$E$157,A58-CEILING(Assumptions!$E$29/30,1))*Assumptions!$B$29/100,0)</f>
      </c>
      <c r="N58">
        <f>IF(AND(A58-CEILING(Assumptions!$E$30/30,1)&gt;=1,A58-CEILING(Assumptions!$E$30/30,1)&lt;=156),INDEX($E$2:$E$157,A58-CEILING(Assumptions!$E$30/30,1))*Assumptions!$B$30/100,0)</f>
      </c>
      <c r="O58">
        <f>IF(AND(A58-CEILING(Assumptions!$E$31/30,1)&gt;=1,A58-CEILING(Assumptions!$E$31/30,1)&lt;=156),INDEX($E$2:$E$157,A58-CEILING(Assumptions!$E$31/30,1))*Assumptions!$B$31/100,0)</f>
      </c>
      <c r="P58">
        <f>K58+L58+M58+N58+O58</f>
      </c>
    </row>
    <row r="59" spans="1:16" x14ac:dyDescent="0.25">
      <c r="A59">
        <v>58</v>
      </c>
      <c r="B59">
        <v>5</v>
      </c>
      <c r="C59">
        <f>Assumptions!$B$5*Assumptions!$B$32*Assumptions!$B$6*D59</f>
      </c>
      <c r="D59">
        <f>IF(A59&lt;=3,Assumptions!$B$21,IF(A59&lt;=6,Assumptions!$B$22,IF(A59&lt;=12,Assumptions!$B$23,Assumptions!$B$24)))/100</f>
      </c>
      <c r="E59">
        <f>Assumptions!$B$5*Assumptions!$B$33*Assumptions!$B$6*D59</f>
      </c>
      <c r="F59">
        <f>Assumptions!$B$5*Assumptions!$B$7*Assumptions!$B$6*D59</f>
      </c>
      <c r="G59">
        <f>Assumptions!$B$8</f>
      </c>
      <c r="H59">
        <f>IF(INDEX(Assumptions!$B$35:$B$47,B59)&lt;&gt;"",INDEX(Assumptions!$B$35:$B$47,B59)/100*Assumptions!$B$2,IF(B59&lt;=Assumptions!$B$17,0,IF(B59&lt;=Assumptions!$B$17+Assumptions!$B$18,Assumptions!$B$19,Assumptions!$B$20)))/12</f>
      </c>
      <c r="I59">
        <f>IF(Assumptions!$B$12="Cash",0,IF(A59&lt;=Assumptions!$B$15,Monthly!$S$1,0))</f>
      </c>
      <c r="J59">
        <f>E59-F59-G59-H59-I59</f>
      </c>
      <c r="K59">
        <f>IF(AND(A59-CEILING(Assumptions!$E$27/30,1)&gt;=1,A59-CEILING(Assumptions!$E$27/30,1)&lt;=156),INDEX($E$2:$E$157,A59-CEILING(Assumptions!$E$27/30,1))*Assumptions!$B$27/100,0)</f>
      </c>
      <c r="L59">
        <f>IF(AND(A59-CEILING(Assumptions!$E$28/30,1)&gt;=1,A59-CEILING(Assumptions!$E$28/30,1)&lt;=156),INDEX($E$2:$E$157,A59-CEILING(Assumptions!$E$28/30,1))*Assumptions!$B$28/100,0)</f>
      </c>
      <c r="M59">
        <f>IF(AND(A59-CEILING(Assumptions!$E$29/30,1)&gt;=1,A59-CEILING(Assumptions!$E$29/30,1)&lt;=156),INDEX($E$2:$E$157,A59-CEILING(Assumptions!$E$29/30,1))*Assumptions!$B$29/100,0)</f>
      </c>
      <c r="N59">
        <f>IF(AND(A59-CEILING(Assumptions!$E$30/30,1)&gt;=1,A59-CEILING(Assumptions!$E$30/30,1)&lt;=156),INDEX($E$2:$E$157,A59-CEILING(Assumptions!$E$30/30,1))*Assumptions!$B$30/100,0)</f>
      </c>
      <c r="O59">
        <f>IF(AND(A59-CEILING(Assumptions!$E$31/30,1)&gt;=1,A59-CEILING(Assumptions!$E$31/30,1)&lt;=156),INDEX($E$2:$E$157,A59-CEILING(Assumptions!$E$31/30,1))*Assumptions!$B$31/100,0)</f>
      </c>
      <c r="P59">
        <f>K59+L59+M59+N59+O59</f>
      </c>
    </row>
    <row r="60" spans="1:16" x14ac:dyDescent="0.25">
      <c r="A60">
        <v>59</v>
      </c>
      <c r="B60">
        <v>5</v>
      </c>
      <c r="C60">
        <f>Assumptions!$B$5*Assumptions!$B$32*Assumptions!$B$6*D60</f>
      </c>
      <c r="D60">
        <f>IF(A60&lt;=3,Assumptions!$B$21,IF(A60&lt;=6,Assumptions!$B$22,IF(A60&lt;=12,Assumptions!$B$23,Assumptions!$B$24)))/100</f>
      </c>
      <c r="E60">
        <f>Assumptions!$B$5*Assumptions!$B$33*Assumptions!$B$6*D60</f>
      </c>
      <c r="F60">
        <f>Assumptions!$B$5*Assumptions!$B$7*Assumptions!$B$6*D60</f>
      </c>
      <c r="G60">
        <f>Assumptions!$B$8</f>
      </c>
      <c r="H60">
        <f>IF(INDEX(Assumptions!$B$35:$B$47,B60)&lt;&gt;"",INDEX(Assumptions!$B$35:$B$47,B60)/100*Assumptions!$B$2,IF(B60&lt;=Assumptions!$B$17,0,IF(B60&lt;=Assumptions!$B$17+Assumptions!$B$18,Assumptions!$B$19,Assumptions!$B$20)))/12</f>
      </c>
      <c r="I60">
        <f>IF(Assumptions!$B$12="Cash",0,IF(A60&lt;=Assumptions!$B$15,Monthly!$S$1,0))</f>
      </c>
      <c r="J60">
        <f>E60-F60-G60-H60-I60</f>
      </c>
      <c r="K60">
        <f>IF(AND(A60-CEILING(Assumptions!$E$27/30,1)&gt;=1,A60-CEILING(Assumptions!$E$27/30,1)&lt;=156),INDEX($E$2:$E$157,A60-CEILING(Assumptions!$E$27/30,1))*Assumptions!$B$27/100,0)</f>
      </c>
      <c r="L60">
        <f>IF(AND(A60-CEILING(Assumptions!$E$28/30,1)&gt;=1,A60-CEILING(Assumptions!$E$28/30,1)&lt;=156),INDEX($E$2:$E$157,A60-CEILING(Assumptions!$E$28/30,1))*Assumptions!$B$28/100,0)</f>
      </c>
      <c r="M60">
        <f>IF(AND(A60-CEILING(Assumptions!$E$29/30,1)&gt;=1,A60-CEILING(Assumptions!$E$29/30,1)&lt;=156),INDEX($E$2:$E$157,A60-CEILING(Assumptions!$E$29/30,1))*Assumptions!$B$29/100,0)</f>
      </c>
      <c r="N60">
        <f>IF(AND(A60-CEILING(Assumptions!$E$30/30,1)&gt;=1,A60-CEILING(Assumptions!$E$30/30,1)&lt;=156),INDEX($E$2:$E$157,A60-CEILING(Assumptions!$E$30/30,1))*Assumptions!$B$30/100,0)</f>
      </c>
      <c r="O60">
        <f>IF(AND(A60-CEILING(Assumptions!$E$31/30,1)&gt;=1,A60-CEILING(Assumptions!$E$31/30,1)&lt;=156),INDEX($E$2:$E$157,A60-CEILING(Assumptions!$E$31/30,1))*Assumptions!$B$31/100,0)</f>
      </c>
      <c r="P60">
        <f>K60+L60+M60+N60+O60</f>
      </c>
    </row>
    <row r="61" spans="1:16" x14ac:dyDescent="0.25">
      <c r="A61">
        <v>60</v>
      </c>
      <c r="B61">
        <v>5</v>
      </c>
      <c r="C61">
        <f>Assumptions!$B$5*Assumptions!$B$32*Assumptions!$B$6*D61</f>
      </c>
      <c r="D61">
        <f>IF(A61&lt;=3,Assumptions!$B$21,IF(A61&lt;=6,Assumptions!$B$22,IF(A61&lt;=12,Assumptions!$B$23,Assumptions!$B$24)))/100</f>
      </c>
      <c r="E61">
        <f>Assumptions!$B$5*Assumptions!$B$33*Assumptions!$B$6*D61</f>
      </c>
      <c r="F61">
        <f>Assumptions!$B$5*Assumptions!$B$7*Assumptions!$B$6*D61</f>
      </c>
      <c r="G61">
        <f>Assumptions!$B$8</f>
      </c>
      <c r="H61">
        <f>IF(INDEX(Assumptions!$B$35:$B$47,B61)&lt;&gt;"",INDEX(Assumptions!$B$35:$B$47,B61)/100*Assumptions!$B$2,IF(B61&lt;=Assumptions!$B$17,0,IF(B61&lt;=Assumptions!$B$17+Assumptions!$B$18,Assumptions!$B$19,Assumptions!$B$20)))/12</f>
      </c>
      <c r="I61">
        <f>IF(Assumptions!$B$12="Cash",0,IF(A61&lt;=Assumptions!$B$15,Monthly!$S$1,0))</f>
      </c>
      <c r="J61">
        <f>E61-F61-G61-H61-I61</f>
      </c>
      <c r="K61">
        <f>IF(AND(A61-CEILING(Assumptions!$E$27/30,1)&gt;=1,A61-CEILING(Assumptions!$E$27/30,1)&lt;=156),INDEX($E$2:$E$157,A61-CEILING(Assumptions!$E$27/30,1))*Assumptions!$B$27/100,0)</f>
      </c>
      <c r="L61">
        <f>IF(AND(A61-CEILING(Assumptions!$E$28/30,1)&gt;=1,A61-CEILING(Assumptions!$E$28/30,1)&lt;=156),INDEX($E$2:$E$157,A61-CEILING(Assumptions!$E$28/30,1))*Assumptions!$B$28/100,0)</f>
      </c>
      <c r="M61">
        <f>IF(AND(A61-CEILING(Assumptions!$E$29/30,1)&gt;=1,A61-CEILING(Assumptions!$E$29/30,1)&lt;=156),INDEX($E$2:$E$157,A61-CEILING(Assumptions!$E$29/30,1))*Assumptions!$B$29/100,0)</f>
      </c>
      <c r="N61">
        <f>IF(AND(A61-CEILING(Assumptions!$E$30/30,1)&gt;=1,A61-CEILING(Assumptions!$E$30/30,1)&lt;=156),INDEX($E$2:$E$157,A61-CEILING(Assumptions!$E$30/30,1))*Assumptions!$B$30/100,0)</f>
      </c>
      <c r="O61">
        <f>IF(AND(A61-CEILING(Assumptions!$E$31/30,1)&gt;=1,A61-CEILING(Assumptions!$E$31/30,1)&lt;=156),INDEX($E$2:$E$157,A61-CEILING(Assumptions!$E$31/30,1))*Assumptions!$B$31/100,0)</f>
      </c>
      <c r="P61">
        <f>K61+L61+M61+N61+O61</f>
      </c>
    </row>
    <row r="62" spans="1:16" x14ac:dyDescent="0.25">
      <c r="A62">
        <v>61</v>
      </c>
      <c r="B62">
        <v>6</v>
      </c>
      <c r="C62">
        <f>Assumptions!$B$5*Assumptions!$B$32*Assumptions!$B$6*D62</f>
      </c>
      <c r="D62">
        <f>IF(A62&lt;=3,Assumptions!$B$21,IF(A62&lt;=6,Assumptions!$B$22,IF(A62&lt;=12,Assumptions!$B$23,Assumptions!$B$24)))/100</f>
      </c>
      <c r="E62">
        <f>Assumptions!$B$5*Assumptions!$B$33*Assumptions!$B$6*D62</f>
      </c>
      <c r="F62">
        <f>Assumptions!$B$5*Assumptions!$B$7*Assumptions!$B$6*D62</f>
      </c>
      <c r="G62">
        <f>Assumptions!$B$8</f>
      </c>
      <c r="H62">
        <f>IF(INDEX(Assumptions!$B$35:$B$47,B62)&lt;&gt;"",INDEX(Assumptions!$B$35:$B$47,B62)/100*Assumptions!$B$2,IF(B62&lt;=Assumptions!$B$17,0,IF(B62&lt;=Assumptions!$B$17+Assumptions!$B$18,Assumptions!$B$19,Assumptions!$B$20)))/12</f>
      </c>
      <c r="I62">
        <f>IF(Assumptions!$B$12="Cash",0,IF(A62&lt;=Assumptions!$B$15,Monthly!$S$1,0))</f>
      </c>
      <c r="J62">
        <f>E62-F62-G62-H62-I62</f>
      </c>
      <c r="K62">
        <f>IF(AND(A62-CEILING(Assumptions!$E$27/30,1)&gt;=1,A62-CEILING(Assumptions!$E$27/30,1)&lt;=156),INDEX($E$2:$E$157,A62-CEILING(Assumptions!$E$27/30,1))*Assumptions!$B$27/100,0)</f>
      </c>
      <c r="L62">
        <f>IF(AND(A62-CEILING(Assumptions!$E$28/30,1)&gt;=1,A62-CEILING(Assumptions!$E$28/30,1)&lt;=156),INDEX($E$2:$E$157,A62-CEILING(Assumptions!$E$28/30,1))*Assumptions!$B$28/100,0)</f>
      </c>
      <c r="M62">
        <f>IF(AND(A62-CEILING(Assumptions!$E$29/30,1)&gt;=1,A62-CEILING(Assumptions!$E$29/30,1)&lt;=156),INDEX($E$2:$E$157,A62-CEILING(Assumptions!$E$29/30,1))*Assumptions!$B$29/100,0)</f>
      </c>
      <c r="N62">
        <f>IF(AND(A62-CEILING(Assumptions!$E$30/30,1)&gt;=1,A62-CEILING(Assumptions!$E$30/30,1)&lt;=156),INDEX($E$2:$E$157,A62-CEILING(Assumptions!$E$30/30,1))*Assumptions!$B$30/100,0)</f>
      </c>
      <c r="O62">
        <f>IF(AND(A62-CEILING(Assumptions!$E$31/30,1)&gt;=1,A62-CEILING(Assumptions!$E$31/30,1)&lt;=156),INDEX($E$2:$E$157,A62-CEILING(Assumptions!$E$31/30,1))*Assumptions!$B$31/100,0)</f>
      </c>
      <c r="P62">
        <f>K62+L62+M62+N62+O62</f>
      </c>
    </row>
    <row r="63" spans="1:16" x14ac:dyDescent="0.25">
      <c r="A63">
        <v>62</v>
      </c>
      <c r="B63">
        <v>6</v>
      </c>
      <c r="C63">
        <f>Assumptions!$B$5*Assumptions!$B$32*Assumptions!$B$6*D63</f>
      </c>
      <c r="D63">
        <f>IF(A63&lt;=3,Assumptions!$B$21,IF(A63&lt;=6,Assumptions!$B$22,IF(A63&lt;=12,Assumptions!$B$23,Assumptions!$B$24)))/100</f>
      </c>
      <c r="E63">
        <f>Assumptions!$B$5*Assumptions!$B$33*Assumptions!$B$6*D63</f>
      </c>
      <c r="F63">
        <f>Assumptions!$B$5*Assumptions!$B$7*Assumptions!$B$6*D63</f>
      </c>
      <c r="G63">
        <f>Assumptions!$B$8</f>
      </c>
      <c r="H63">
        <f>IF(INDEX(Assumptions!$B$35:$B$47,B63)&lt;&gt;"",INDEX(Assumptions!$B$35:$B$47,B63)/100*Assumptions!$B$2,IF(B63&lt;=Assumptions!$B$17,0,IF(B63&lt;=Assumptions!$B$17+Assumptions!$B$18,Assumptions!$B$19,Assumptions!$B$20)))/12</f>
      </c>
      <c r="I63">
        <f>IF(Assumptions!$B$12="Cash",0,IF(A63&lt;=Assumptions!$B$15,Monthly!$S$1,0))</f>
      </c>
      <c r="J63">
        <f>E63-F63-G63-H63-I63</f>
      </c>
      <c r="K63">
        <f>IF(AND(A63-CEILING(Assumptions!$E$27/30,1)&gt;=1,A63-CEILING(Assumptions!$E$27/30,1)&lt;=156),INDEX($E$2:$E$157,A63-CEILING(Assumptions!$E$27/30,1))*Assumptions!$B$27/100,0)</f>
      </c>
      <c r="L63">
        <f>IF(AND(A63-CEILING(Assumptions!$E$28/30,1)&gt;=1,A63-CEILING(Assumptions!$E$28/30,1)&lt;=156),INDEX($E$2:$E$157,A63-CEILING(Assumptions!$E$28/30,1))*Assumptions!$B$28/100,0)</f>
      </c>
      <c r="M63">
        <f>IF(AND(A63-CEILING(Assumptions!$E$29/30,1)&gt;=1,A63-CEILING(Assumptions!$E$29/30,1)&lt;=156),INDEX($E$2:$E$157,A63-CEILING(Assumptions!$E$29/30,1))*Assumptions!$B$29/100,0)</f>
      </c>
      <c r="N63">
        <f>IF(AND(A63-CEILING(Assumptions!$E$30/30,1)&gt;=1,A63-CEILING(Assumptions!$E$30/30,1)&lt;=156),INDEX($E$2:$E$157,A63-CEILING(Assumptions!$E$30/30,1))*Assumptions!$B$30/100,0)</f>
      </c>
      <c r="O63">
        <f>IF(AND(A63-CEILING(Assumptions!$E$31/30,1)&gt;=1,A63-CEILING(Assumptions!$E$31/30,1)&lt;=156),INDEX($E$2:$E$157,A63-CEILING(Assumptions!$E$31/30,1))*Assumptions!$B$31/100,0)</f>
      </c>
      <c r="P63">
        <f>K63+L63+M63+N63+O63</f>
      </c>
    </row>
    <row r="64" spans="1:16" x14ac:dyDescent="0.25">
      <c r="A64">
        <v>63</v>
      </c>
      <c r="B64">
        <v>6</v>
      </c>
      <c r="C64">
        <f>Assumptions!$B$5*Assumptions!$B$32*Assumptions!$B$6*D64</f>
      </c>
      <c r="D64">
        <f>IF(A64&lt;=3,Assumptions!$B$21,IF(A64&lt;=6,Assumptions!$B$22,IF(A64&lt;=12,Assumptions!$B$23,Assumptions!$B$24)))/100</f>
      </c>
      <c r="E64">
        <f>Assumptions!$B$5*Assumptions!$B$33*Assumptions!$B$6*D64</f>
      </c>
      <c r="F64">
        <f>Assumptions!$B$5*Assumptions!$B$7*Assumptions!$B$6*D64</f>
      </c>
      <c r="G64">
        <f>Assumptions!$B$8</f>
      </c>
      <c r="H64">
        <f>IF(INDEX(Assumptions!$B$35:$B$47,B64)&lt;&gt;"",INDEX(Assumptions!$B$35:$B$47,B64)/100*Assumptions!$B$2,IF(B64&lt;=Assumptions!$B$17,0,IF(B64&lt;=Assumptions!$B$17+Assumptions!$B$18,Assumptions!$B$19,Assumptions!$B$20)))/12</f>
      </c>
      <c r="I64">
        <f>IF(Assumptions!$B$12="Cash",0,IF(A64&lt;=Assumptions!$B$15,Monthly!$S$1,0))</f>
      </c>
      <c r="J64">
        <f>E64-F64-G64-H64-I64</f>
      </c>
      <c r="K64">
        <f>IF(AND(A64-CEILING(Assumptions!$E$27/30,1)&gt;=1,A64-CEILING(Assumptions!$E$27/30,1)&lt;=156),INDEX($E$2:$E$157,A64-CEILING(Assumptions!$E$27/30,1))*Assumptions!$B$27/100,0)</f>
      </c>
      <c r="L64">
        <f>IF(AND(A64-CEILING(Assumptions!$E$28/30,1)&gt;=1,A64-CEILING(Assumptions!$E$28/30,1)&lt;=156),INDEX($E$2:$E$157,A64-CEILING(Assumptions!$E$28/30,1))*Assumptions!$B$28/100,0)</f>
      </c>
      <c r="M64">
        <f>IF(AND(A64-CEILING(Assumptions!$E$29/30,1)&gt;=1,A64-CEILING(Assumptions!$E$29/30,1)&lt;=156),INDEX($E$2:$E$157,A64-CEILING(Assumptions!$E$29/30,1))*Assumptions!$B$29/100,0)</f>
      </c>
      <c r="N64">
        <f>IF(AND(A64-CEILING(Assumptions!$E$30/30,1)&gt;=1,A64-CEILING(Assumptions!$E$30/30,1)&lt;=156),INDEX($E$2:$E$157,A64-CEILING(Assumptions!$E$30/30,1))*Assumptions!$B$30/100,0)</f>
      </c>
      <c r="O64">
        <f>IF(AND(A64-CEILING(Assumptions!$E$31/30,1)&gt;=1,A64-CEILING(Assumptions!$E$31/30,1)&lt;=156),INDEX($E$2:$E$157,A64-CEILING(Assumptions!$E$31/30,1))*Assumptions!$B$31/100,0)</f>
      </c>
      <c r="P64">
        <f>K64+L64+M64+N64+O64</f>
      </c>
    </row>
    <row r="65" spans="1:16" x14ac:dyDescent="0.25">
      <c r="A65">
        <v>64</v>
      </c>
      <c r="B65">
        <v>6</v>
      </c>
      <c r="C65">
        <f>Assumptions!$B$5*Assumptions!$B$32*Assumptions!$B$6*D65</f>
      </c>
      <c r="D65">
        <f>IF(A65&lt;=3,Assumptions!$B$21,IF(A65&lt;=6,Assumptions!$B$22,IF(A65&lt;=12,Assumptions!$B$23,Assumptions!$B$24)))/100</f>
      </c>
      <c r="E65">
        <f>Assumptions!$B$5*Assumptions!$B$33*Assumptions!$B$6*D65</f>
      </c>
      <c r="F65">
        <f>Assumptions!$B$5*Assumptions!$B$7*Assumptions!$B$6*D65</f>
      </c>
      <c r="G65">
        <f>Assumptions!$B$8</f>
      </c>
      <c r="H65">
        <f>IF(INDEX(Assumptions!$B$35:$B$47,B65)&lt;&gt;"",INDEX(Assumptions!$B$35:$B$47,B65)/100*Assumptions!$B$2,IF(B65&lt;=Assumptions!$B$17,0,IF(B65&lt;=Assumptions!$B$17+Assumptions!$B$18,Assumptions!$B$19,Assumptions!$B$20)))/12</f>
      </c>
      <c r="I65">
        <f>IF(Assumptions!$B$12="Cash",0,IF(A65&lt;=Assumptions!$B$15,Monthly!$S$1,0))</f>
      </c>
      <c r="J65">
        <f>E65-F65-G65-H65-I65</f>
      </c>
      <c r="K65">
        <f>IF(AND(A65-CEILING(Assumptions!$E$27/30,1)&gt;=1,A65-CEILING(Assumptions!$E$27/30,1)&lt;=156),INDEX($E$2:$E$157,A65-CEILING(Assumptions!$E$27/30,1))*Assumptions!$B$27/100,0)</f>
      </c>
      <c r="L65">
        <f>IF(AND(A65-CEILING(Assumptions!$E$28/30,1)&gt;=1,A65-CEILING(Assumptions!$E$28/30,1)&lt;=156),INDEX($E$2:$E$157,A65-CEILING(Assumptions!$E$28/30,1))*Assumptions!$B$28/100,0)</f>
      </c>
      <c r="M65">
        <f>IF(AND(A65-CEILING(Assumptions!$E$29/30,1)&gt;=1,A65-CEILING(Assumptions!$E$29/30,1)&lt;=156),INDEX($E$2:$E$157,A65-CEILING(Assumptions!$E$29/30,1))*Assumptions!$B$29/100,0)</f>
      </c>
      <c r="N65">
        <f>IF(AND(A65-CEILING(Assumptions!$E$30/30,1)&gt;=1,A65-CEILING(Assumptions!$E$30/30,1)&lt;=156),INDEX($E$2:$E$157,A65-CEILING(Assumptions!$E$30/30,1))*Assumptions!$B$30/100,0)</f>
      </c>
      <c r="O65">
        <f>IF(AND(A65-CEILING(Assumptions!$E$31/30,1)&gt;=1,A65-CEILING(Assumptions!$E$31/30,1)&lt;=156),INDEX($E$2:$E$157,A65-CEILING(Assumptions!$E$31/30,1))*Assumptions!$B$31/100,0)</f>
      </c>
      <c r="P65">
        <f>K65+L65+M65+N65+O65</f>
      </c>
    </row>
    <row r="66" spans="1:16" x14ac:dyDescent="0.25">
      <c r="A66">
        <v>65</v>
      </c>
      <c r="B66">
        <v>6</v>
      </c>
      <c r="C66">
        <f>Assumptions!$B$5*Assumptions!$B$32*Assumptions!$B$6*D66</f>
      </c>
      <c r="D66">
        <f>IF(A66&lt;=3,Assumptions!$B$21,IF(A66&lt;=6,Assumptions!$B$22,IF(A66&lt;=12,Assumptions!$B$23,Assumptions!$B$24)))/100</f>
      </c>
      <c r="E66">
        <f>Assumptions!$B$5*Assumptions!$B$33*Assumptions!$B$6*D66</f>
      </c>
      <c r="F66">
        <f>Assumptions!$B$5*Assumptions!$B$7*Assumptions!$B$6*D66</f>
      </c>
      <c r="G66">
        <f>Assumptions!$B$8</f>
      </c>
      <c r="H66">
        <f>IF(INDEX(Assumptions!$B$35:$B$47,B66)&lt;&gt;"",INDEX(Assumptions!$B$35:$B$47,B66)/100*Assumptions!$B$2,IF(B66&lt;=Assumptions!$B$17,0,IF(B66&lt;=Assumptions!$B$17+Assumptions!$B$18,Assumptions!$B$19,Assumptions!$B$20)))/12</f>
      </c>
      <c r="I66">
        <f>IF(Assumptions!$B$12="Cash",0,IF(A66&lt;=Assumptions!$B$15,Monthly!$S$1,0))</f>
      </c>
      <c r="J66">
        <f>E66-F66-G66-H66-I66</f>
      </c>
      <c r="K66">
        <f>IF(AND(A66-CEILING(Assumptions!$E$27/30,1)&gt;=1,A66-CEILING(Assumptions!$E$27/30,1)&lt;=156),INDEX($E$2:$E$157,A66-CEILING(Assumptions!$E$27/30,1))*Assumptions!$B$27/100,0)</f>
      </c>
      <c r="L66">
        <f>IF(AND(A66-CEILING(Assumptions!$E$28/30,1)&gt;=1,A66-CEILING(Assumptions!$E$28/30,1)&lt;=156),INDEX($E$2:$E$157,A66-CEILING(Assumptions!$E$28/30,1))*Assumptions!$B$28/100,0)</f>
      </c>
      <c r="M66">
        <f>IF(AND(A66-CEILING(Assumptions!$E$29/30,1)&gt;=1,A66-CEILING(Assumptions!$E$29/30,1)&lt;=156),INDEX($E$2:$E$157,A66-CEILING(Assumptions!$E$29/30,1))*Assumptions!$B$29/100,0)</f>
      </c>
      <c r="N66">
        <f>IF(AND(A66-CEILING(Assumptions!$E$30/30,1)&gt;=1,A66-CEILING(Assumptions!$E$30/30,1)&lt;=156),INDEX($E$2:$E$157,A66-CEILING(Assumptions!$E$30/30,1))*Assumptions!$B$30/100,0)</f>
      </c>
      <c r="O66">
        <f>IF(AND(A66-CEILING(Assumptions!$E$31/30,1)&gt;=1,A66-CEILING(Assumptions!$E$31/30,1)&lt;=156),INDEX($E$2:$E$157,A66-CEILING(Assumptions!$E$31/30,1))*Assumptions!$B$31/100,0)</f>
      </c>
      <c r="P66">
        <f>K66+L66+M66+N66+O66</f>
      </c>
    </row>
    <row r="67" spans="1:16" x14ac:dyDescent="0.25">
      <c r="A67">
        <v>66</v>
      </c>
      <c r="B67">
        <v>6</v>
      </c>
      <c r="C67">
        <f>Assumptions!$B$5*Assumptions!$B$32*Assumptions!$B$6*D67</f>
      </c>
      <c r="D67">
        <f>IF(A67&lt;=3,Assumptions!$B$21,IF(A67&lt;=6,Assumptions!$B$22,IF(A67&lt;=12,Assumptions!$B$23,Assumptions!$B$24)))/100</f>
      </c>
      <c r="E67">
        <f>Assumptions!$B$5*Assumptions!$B$33*Assumptions!$B$6*D67</f>
      </c>
      <c r="F67">
        <f>Assumptions!$B$5*Assumptions!$B$7*Assumptions!$B$6*D67</f>
      </c>
      <c r="G67">
        <f>Assumptions!$B$8</f>
      </c>
      <c r="H67">
        <f>IF(INDEX(Assumptions!$B$35:$B$47,B67)&lt;&gt;"",INDEX(Assumptions!$B$35:$B$47,B67)/100*Assumptions!$B$2,IF(B67&lt;=Assumptions!$B$17,0,IF(B67&lt;=Assumptions!$B$17+Assumptions!$B$18,Assumptions!$B$19,Assumptions!$B$20)))/12</f>
      </c>
      <c r="I67">
        <f>IF(Assumptions!$B$12="Cash",0,IF(A67&lt;=Assumptions!$B$15,Monthly!$S$1,0))</f>
      </c>
      <c r="J67">
        <f>E67-F67-G67-H67-I67</f>
      </c>
      <c r="K67">
        <f>IF(AND(A67-CEILING(Assumptions!$E$27/30,1)&gt;=1,A67-CEILING(Assumptions!$E$27/30,1)&lt;=156),INDEX($E$2:$E$157,A67-CEILING(Assumptions!$E$27/30,1))*Assumptions!$B$27/100,0)</f>
      </c>
      <c r="L67">
        <f>IF(AND(A67-CEILING(Assumptions!$E$28/30,1)&gt;=1,A67-CEILING(Assumptions!$E$28/30,1)&lt;=156),INDEX($E$2:$E$157,A67-CEILING(Assumptions!$E$28/30,1))*Assumptions!$B$28/100,0)</f>
      </c>
      <c r="M67">
        <f>IF(AND(A67-CEILING(Assumptions!$E$29/30,1)&gt;=1,A67-CEILING(Assumptions!$E$29/30,1)&lt;=156),INDEX($E$2:$E$157,A67-CEILING(Assumptions!$E$29/30,1))*Assumptions!$B$29/100,0)</f>
      </c>
      <c r="N67">
        <f>IF(AND(A67-CEILING(Assumptions!$E$30/30,1)&gt;=1,A67-CEILING(Assumptions!$E$30/30,1)&lt;=156),INDEX($E$2:$E$157,A67-CEILING(Assumptions!$E$30/30,1))*Assumptions!$B$30/100,0)</f>
      </c>
      <c r="O67">
        <f>IF(AND(A67-CEILING(Assumptions!$E$31/30,1)&gt;=1,A67-CEILING(Assumptions!$E$31/30,1)&lt;=156),INDEX($E$2:$E$157,A67-CEILING(Assumptions!$E$31/30,1))*Assumptions!$B$31/100,0)</f>
      </c>
      <c r="P67">
        <f>K67+L67+M67+N67+O67</f>
      </c>
    </row>
    <row r="68" spans="1:16" x14ac:dyDescent="0.25">
      <c r="A68">
        <v>67</v>
      </c>
      <c r="B68">
        <v>6</v>
      </c>
      <c r="C68">
        <f>Assumptions!$B$5*Assumptions!$B$32*Assumptions!$B$6*D68</f>
      </c>
      <c r="D68">
        <f>IF(A68&lt;=3,Assumptions!$B$21,IF(A68&lt;=6,Assumptions!$B$22,IF(A68&lt;=12,Assumptions!$B$23,Assumptions!$B$24)))/100</f>
      </c>
      <c r="E68">
        <f>Assumptions!$B$5*Assumptions!$B$33*Assumptions!$B$6*D68</f>
      </c>
      <c r="F68">
        <f>Assumptions!$B$5*Assumptions!$B$7*Assumptions!$B$6*D68</f>
      </c>
      <c r="G68">
        <f>Assumptions!$B$8</f>
      </c>
      <c r="H68">
        <f>IF(INDEX(Assumptions!$B$35:$B$47,B68)&lt;&gt;"",INDEX(Assumptions!$B$35:$B$47,B68)/100*Assumptions!$B$2,IF(B68&lt;=Assumptions!$B$17,0,IF(B68&lt;=Assumptions!$B$17+Assumptions!$B$18,Assumptions!$B$19,Assumptions!$B$20)))/12</f>
      </c>
      <c r="I68">
        <f>IF(Assumptions!$B$12="Cash",0,IF(A68&lt;=Assumptions!$B$15,Monthly!$S$1,0))</f>
      </c>
      <c r="J68">
        <f>E68-F68-G68-H68-I68</f>
      </c>
      <c r="K68">
        <f>IF(AND(A68-CEILING(Assumptions!$E$27/30,1)&gt;=1,A68-CEILING(Assumptions!$E$27/30,1)&lt;=156),INDEX($E$2:$E$157,A68-CEILING(Assumptions!$E$27/30,1))*Assumptions!$B$27/100,0)</f>
      </c>
      <c r="L68">
        <f>IF(AND(A68-CEILING(Assumptions!$E$28/30,1)&gt;=1,A68-CEILING(Assumptions!$E$28/30,1)&lt;=156),INDEX($E$2:$E$157,A68-CEILING(Assumptions!$E$28/30,1))*Assumptions!$B$28/100,0)</f>
      </c>
      <c r="M68">
        <f>IF(AND(A68-CEILING(Assumptions!$E$29/30,1)&gt;=1,A68-CEILING(Assumptions!$E$29/30,1)&lt;=156),INDEX($E$2:$E$157,A68-CEILING(Assumptions!$E$29/30,1))*Assumptions!$B$29/100,0)</f>
      </c>
      <c r="N68">
        <f>IF(AND(A68-CEILING(Assumptions!$E$30/30,1)&gt;=1,A68-CEILING(Assumptions!$E$30/30,1)&lt;=156),INDEX($E$2:$E$157,A68-CEILING(Assumptions!$E$30/30,1))*Assumptions!$B$30/100,0)</f>
      </c>
      <c r="O68">
        <f>IF(AND(A68-CEILING(Assumptions!$E$31/30,1)&gt;=1,A68-CEILING(Assumptions!$E$31/30,1)&lt;=156),INDEX($E$2:$E$157,A68-CEILING(Assumptions!$E$31/30,1))*Assumptions!$B$31/100,0)</f>
      </c>
      <c r="P68">
        <f>K68+L68+M68+N68+O68</f>
      </c>
    </row>
    <row r="69" spans="1:16" x14ac:dyDescent="0.25">
      <c r="A69">
        <v>68</v>
      </c>
      <c r="B69">
        <v>6</v>
      </c>
      <c r="C69">
        <f>Assumptions!$B$5*Assumptions!$B$32*Assumptions!$B$6*D69</f>
      </c>
      <c r="D69">
        <f>IF(A69&lt;=3,Assumptions!$B$21,IF(A69&lt;=6,Assumptions!$B$22,IF(A69&lt;=12,Assumptions!$B$23,Assumptions!$B$24)))/100</f>
      </c>
      <c r="E69">
        <f>Assumptions!$B$5*Assumptions!$B$33*Assumptions!$B$6*D69</f>
      </c>
      <c r="F69">
        <f>Assumptions!$B$5*Assumptions!$B$7*Assumptions!$B$6*D69</f>
      </c>
      <c r="G69">
        <f>Assumptions!$B$8</f>
      </c>
      <c r="H69">
        <f>IF(INDEX(Assumptions!$B$35:$B$47,B69)&lt;&gt;"",INDEX(Assumptions!$B$35:$B$47,B69)/100*Assumptions!$B$2,IF(B69&lt;=Assumptions!$B$17,0,IF(B69&lt;=Assumptions!$B$17+Assumptions!$B$18,Assumptions!$B$19,Assumptions!$B$20)))/12</f>
      </c>
      <c r="I69">
        <f>IF(Assumptions!$B$12="Cash",0,IF(A69&lt;=Assumptions!$B$15,Monthly!$S$1,0))</f>
      </c>
      <c r="J69">
        <f>E69-F69-G69-H69-I69</f>
      </c>
      <c r="K69">
        <f>IF(AND(A69-CEILING(Assumptions!$E$27/30,1)&gt;=1,A69-CEILING(Assumptions!$E$27/30,1)&lt;=156),INDEX($E$2:$E$157,A69-CEILING(Assumptions!$E$27/30,1))*Assumptions!$B$27/100,0)</f>
      </c>
      <c r="L69">
        <f>IF(AND(A69-CEILING(Assumptions!$E$28/30,1)&gt;=1,A69-CEILING(Assumptions!$E$28/30,1)&lt;=156),INDEX($E$2:$E$157,A69-CEILING(Assumptions!$E$28/30,1))*Assumptions!$B$28/100,0)</f>
      </c>
      <c r="M69">
        <f>IF(AND(A69-CEILING(Assumptions!$E$29/30,1)&gt;=1,A69-CEILING(Assumptions!$E$29/30,1)&lt;=156),INDEX($E$2:$E$157,A69-CEILING(Assumptions!$E$29/30,1))*Assumptions!$B$29/100,0)</f>
      </c>
      <c r="N69">
        <f>IF(AND(A69-CEILING(Assumptions!$E$30/30,1)&gt;=1,A69-CEILING(Assumptions!$E$30/30,1)&lt;=156),INDEX($E$2:$E$157,A69-CEILING(Assumptions!$E$30/30,1))*Assumptions!$B$30/100,0)</f>
      </c>
      <c r="O69">
        <f>IF(AND(A69-CEILING(Assumptions!$E$31/30,1)&gt;=1,A69-CEILING(Assumptions!$E$31/30,1)&lt;=156),INDEX($E$2:$E$157,A69-CEILING(Assumptions!$E$31/30,1))*Assumptions!$B$31/100,0)</f>
      </c>
      <c r="P69">
        <f>K69+L69+M69+N69+O69</f>
      </c>
    </row>
    <row r="70" spans="1:16" x14ac:dyDescent="0.25">
      <c r="A70">
        <v>69</v>
      </c>
      <c r="B70">
        <v>6</v>
      </c>
      <c r="C70">
        <f>Assumptions!$B$5*Assumptions!$B$32*Assumptions!$B$6*D70</f>
      </c>
      <c r="D70">
        <f>IF(A70&lt;=3,Assumptions!$B$21,IF(A70&lt;=6,Assumptions!$B$22,IF(A70&lt;=12,Assumptions!$B$23,Assumptions!$B$24)))/100</f>
      </c>
      <c r="E70">
        <f>Assumptions!$B$5*Assumptions!$B$33*Assumptions!$B$6*D70</f>
      </c>
      <c r="F70">
        <f>Assumptions!$B$5*Assumptions!$B$7*Assumptions!$B$6*D70</f>
      </c>
      <c r="G70">
        <f>Assumptions!$B$8</f>
      </c>
      <c r="H70">
        <f>IF(INDEX(Assumptions!$B$35:$B$47,B70)&lt;&gt;"",INDEX(Assumptions!$B$35:$B$47,B70)/100*Assumptions!$B$2,IF(B70&lt;=Assumptions!$B$17,0,IF(B70&lt;=Assumptions!$B$17+Assumptions!$B$18,Assumptions!$B$19,Assumptions!$B$20)))/12</f>
      </c>
      <c r="I70">
        <f>IF(Assumptions!$B$12="Cash",0,IF(A70&lt;=Assumptions!$B$15,Monthly!$S$1,0))</f>
      </c>
      <c r="J70">
        <f>E70-F70-G70-H70-I70</f>
      </c>
      <c r="K70">
        <f>IF(AND(A70-CEILING(Assumptions!$E$27/30,1)&gt;=1,A70-CEILING(Assumptions!$E$27/30,1)&lt;=156),INDEX($E$2:$E$157,A70-CEILING(Assumptions!$E$27/30,1))*Assumptions!$B$27/100,0)</f>
      </c>
      <c r="L70">
        <f>IF(AND(A70-CEILING(Assumptions!$E$28/30,1)&gt;=1,A70-CEILING(Assumptions!$E$28/30,1)&lt;=156),INDEX($E$2:$E$157,A70-CEILING(Assumptions!$E$28/30,1))*Assumptions!$B$28/100,0)</f>
      </c>
      <c r="M70">
        <f>IF(AND(A70-CEILING(Assumptions!$E$29/30,1)&gt;=1,A70-CEILING(Assumptions!$E$29/30,1)&lt;=156),INDEX($E$2:$E$157,A70-CEILING(Assumptions!$E$29/30,1))*Assumptions!$B$29/100,0)</f>
      </c>
      <c r="N70">
        <f>IF(AND(A70-CEILING(Assumptions!$E$30/30,1)&gt;=1,A70-CEILING(Assumptions!$E$30/30,1)&lt;=156),INDEX($E$2:$E$157,A70-CEILING(Assumptions!$E$30/30,1))*Assumptions!$B$30/100,0)</f>
      </c>
      <c r="O70">
        <f>IF(AND(A70-CEILING(Assumptions!$E$31/30,1)&gt;=1,A70-CEILING(Assumptions!$E$31/30,1)&lt;=156),INDEX($E$2:$E$157,A70-CEILING(Assumptions!$E$31/30,1))*Assumptions!$B$31/100,0)</f>
      </c>
      <c r="P70">
        <f>K70+L70+M70+N70+O70</f>
      </c>
    </row>
    <row r="71" spans="1:16" x14ac:dyDescent="0.25">
      <c r="A71">
        <v>70</v>
      </c>
      <c r="B71">
        <v>6</v>
      </c>
      <c r="C71">
        <f>Assumptions!$B$5*Assumptions!$B$32*Assumptions!$B$6*D71</f>
      </c>
      <c r="D71">
        <f>IF(A71&lt;=3,Assumptions!$B$21,IF(A71&lt;=6,Assumptions!$B$22,IF(A71&lt;=12,Assumptions!$B$23,Assumptions!$B$24)))/100</f>
      </c>
      <c r="E71">
        <f>Assumptions!$B$5*Assumptions!$B$33*Assumptions!$B$6*D71</f>
      </c>
      <c r="F71">
        <f>Assumptions!$B$5*Assumptions!$B$7*Assumptions!$B$6*D71</f>
      </c>
      <c r="G71">
        <f>Assumptions!$B$8</f>
      </c>
      <c r="H71">
        <f>IF(INDEX(Assumptions!$B$35:$B$47,B71)&lt;&gt;"",INDEX(Assumptions!$B$35:$B$47,B71)/100*Assumptions!$B$2,IF(B71&lt;=Assumptions!$B$17,0,IF(B71&lt;=Assumptions!$B$17+Assumptions!$B$18,Assumptions!$B$19,Assumptions!$B$20)))/12</f>
      </c>
      <c r="I71">
        <f>IF(Assumptions!$B$12="Cash",0,IF(A71&lt;=Assumptions!$B$15,Monthly!$S$1,0))</f>
      </c>
      <c r="J71">
        <f>E71-F71-G71-H71-I71</f>
      </c>
      <c r="K71">
        <f>IF(AND(A71-CEILING(Assumptions!$E$27/30,1)&gt;=1,A71-CEILING(Assumptions!$E$27/30,1)&lt;=156),INDEX($E$2:$E$157,A71-CEILING(Assumptions!$E$27/30,1))*Assumptions!$B$27/100,0)</f>
      </c>
      <c r="L71">
        <f>IF(AND(A71-CEILING(Assumptions!$E$28/30,1)&gt;=1,A71-CEILING(Assumptions!$E$28/30,1)&lt;=156),INDEX($E$2:$E$157,A71-CEILING(Assumptions!$E$28/30,1))*Assumptions!$B$28/100,0)</f>
      </c>
      <c r="M71">
        <f>IF(AND(A71-CEILING(Assumptions!$E$29/30,1)&gt;=1,A71-CEILING(Assumptions!$E$29/30,1)&lt;=156),INDEX($E$2:$E$157,A71-CEILING(Assumptions!$E$29/30,1))*Assumptions!$B$29/100,0)</f>
      </c>
      <c r="N71">
        <f>IF(AND(A71-CEILING(Assumptions!$E$30/30,1)&gt;=1,A71-CEILING(Assumptions!$E$30/30,1)&lt;=156),INDEX($E$2:$E$157,A71-CEILING(Assumptions!$E$30/30,1))*Assumptions!$B$30/100,0)</f>
      </c>
      <c r="O71">
        <f>IF(AND(A71-CEILING(Assumptions!$E$31/30,1)&gt;=1,A71-CEILING(Assumptions!$E$31/30,1)&lt;=156),INDEX($E$2:$E$157,A71-CEILING(Assumptions!$E$31/30,1))*Assumptions!$B$31/100,0)</f>
      </c>
      <c r="P71">
        <f>K71+L71+M71+N71+O71</f>
      </c>
    </row>
    <row r="72" spans="1:16" x14ac:dyDescent="0.25">
      <c r="A72">
        <v>71</v>
      </c>
      <c r="B72">
        <v>6</v>
      </c>
      <c r="C72">
        <f>Assumptions!$B$5*Assumptions!$B$32*Assumptions!$B$6*D72</f>
      </c>
      <c r="D72">
        <f>IF(A72&lt;=3,Assumptions!$B$21,IF(A72&lt;=6,Assumptions!$B$22,IF(A72&lt;=12,Assumptions!$B$23,Assumptions!$B$24)))/100</f>
      </c>
      <c r="E72">
        <f>Assumptions!$B$5*Assumptions!$B$33*Assumptions!$B$6*D72</f>
      </c>
      <c r="F72">
        <f>Assumptions!$B$5*Assumptions!$B$7*Assumptions!$B$6*D72</f>
      </c>
      <c r="G72">
        <f>Assumptions!$B$8</f>
      </c>
      <c r="H72">
        <f>IF(INDEX(Assumptions!$B$35:$B$47,B72)&lt;&gt;"",INDEX(Assumptions!$B$35:$B$47,B72)/100*Assumptions!$B$2,IF(B72&lt;=Assumptions!$B$17,0,IF(B72&lt;=Assumptions!$B$17+Assumptions!$B$18,Assumptions!$B$19,Assumptions!$B$20)))/12</f>
      </c>
      <c r="I72">
        <f>IF(Assumptions!$B$12="Cash",0,IF(A72&lt;=Assumptions!$B$15,Monthly!$S$1,0))</f>
      </c>
      <c r="J72">
        <f>E72-F72-G72-H72-I72</f>
      </c>
      <c r="K72">
        <f>IF(AND(A72-CEILING(Assumptions!$E$27/30,1)&gt;=1,A72-CEILING(Assumptions!$E$27/30,1)&lt;=156),INDEX($E$2:$E$157,A72-CEILING(Assumptions!$E$27/30,1))*Assumptions!$B$27/100,0)</f>
      </c>
      <c r="L72">
        <f>IF(AND(A72-CEILING(Assumptions!$E$28/30,1)&gt;=1,A72-CEILING(Assumptions!$E$28/30,1)&lt;=156),INDEX($E$2:$E$157,A72-CEILING(Assumptions!$E$28/30,1))*Assumptions!$B$28/100,0)</f>
      </c>
      <c r="M72">
        <f>IF(AND(A72-CEILING(Assumptions!$E$29/30,1)&gt;=1,A72-CEILING(Assumptions!$E$29/30,1)&lt;=156),INDEX($E$2:$E$157,A72-CEILING(Assumptions!$E$29/30,1))*Assumptions!$B$29/100,0)</f>
      </c>
      <c r="N72">
        <f>IF(AND(A72-CEILING(Assumptions!$E$30/30,1)&gt;=1,A72-CEILING(Assumptions!$E$30/30,1)&lt;=156),INDEX($E$2:$E$157,A72-CEILING(Assumptions!$E$30/30,1))*Assumptions!$B$30/100,0)</f>
      </c>
      <c r="O72">
        <f>IF(AND(A72-CEILING(Assumptions!$E$31/30,1)&gt;=1,A72-CEILING(Assumptions!$E$31/30,1)&lt;=156),INDEX($E$2:$E$157,A72-CEILING(Assumptions!$E$31/30,1))*Assumptions!$B$31/100,0)</f>
      </c>
      <c r="P72">
        <f>K72+L72+M72+N72+O72</f>
      </c>
    </row>
    <row r="73" spans="1:16" x14ac:dyDescent="0.25">
      <c r="A73">
        <v>72</v>
      </c>
      <c r="B73">
        <v>6</v>
      </c>
      <c r="C73">
        <f>Assumptions!$B$5*Assumptions!$B$32*Assumptions!$B$6*D73</f>
      </c>
      <c r="D73">
        <f>IF(A73&lt;=3,Assumptions!$B$21,IF(A73&lt;=6,Assumptions!$B$22,IF(A73&lt;=12,Assumptions!$B$23,Assumptions!$B$24)))/100</f>
      </c>
      <c r="E73">
        <f>Assumptions!$B$5*Assumptions!$B$33*Assumptions!$B$6*D73</f>
      </c>
      <c r="F73">
        <f>Assumptions!$B$5*Assumptions!$B$7*Assumptions!$B$6*D73</f>
      </c>
      <c r="G73">
        <f>Assumptions!$B$8</f>
      </c>
      <c r="H73">
        <f>IF(INDEX(Assumptions!$B$35:$B$47,B73)&lt;&gt;"",INDEX(Assumptions!$B$35:$B$47,B73)/100*Assumptions!$B$2,IF(B73&lt;=Assumptions!$B$17,0,IF(B73&lt;=Assumptions!$B$17+Assumptions!$B$18,Assumptions!$B$19,Assumptions!$B$20)))/12</f>
      </c>
      <c r="I73">
        <f>IF(Assumptions!$B$12="Cash",0,IF(A73&lt;=Assumptions!$B$15,Monthly!$S$1,0))</f>
      </c>
      <c r="J73">
        <f>E73-F73-G73-H73-I73</f>
      </c>
      <c r="K73">
        <f>IF(AND(A73-CEILING(Assumptions!$E$27/30,1)&gt;=1,A73-CEILING(Assumptions!$E$27/30,1)&lt;=156),INDEX($E$2:$E$157,A73-CEILING(Assumptions!$E$27/30,1))*Assumptions!$B$27/100,0)</f>
      </c>
      <c r="L73">
        <f>IF(AND(A73-CEILING(Assumptions!$E$28/30,1)&gt;=1,A73-CEILING(Assumptions!$E$28/30,1)&lt;=156),INDEX($E$2:$E$157,A73-CEILING(Assumptions!$E$28/30,1))*Assumptions!$B$28/100,0)</f>
      </c>
      <c r="M73">
        <f>IF(AND(A73-CEILING(Assumptions!$E$29/30,1)&gt;=1,A73-CEILING(Assumptions!$E$29/30,1)&lt;=156),INDEX($E$2:$E$157,A73-CEILING(Assumptions!$E$29/30,1))*Assumptions!$B$29/100,0)</f>
      </c>
      <c r="N73">
        <f>IF(AND(A73-CEILING(Assumptions!$E$30/30,1)&gt;=1,A73-CEILING(Assumptions!$E$30/30,1)&lt;=156),INDEX($E$2:$E$157,A73-CEILING(Assumptions!$E$30/30,1))*Assumptions!$B$30/100,0)</f>
      </c>
      <c r="O73">
        <f>IF(AND(A73-CEILING(Assumptions!$E$31/30,1)&gt;=1,A73-CEILING(Assumptions!$E$31/30,1)&lt;=156),INDEX($E$2:$E$157,A73-CEILING(Assumptions!$E$31/30,1))*Assumptions!$B$31/100,0)</f>
      </c>
      <c r="P73">
        <f>K73+L73+M73+N73+O73</f>
      </c>
    </row>
    <row r="74" spans="1:16" x14ac:dyDescent="0.25">
      <c r="A74">
        <v>73</v>
      </c>
      <c r="B74">
        <v>7</v>
      </c>
      <c r="C74">
        <f>Assumptions!$B$5*Assumptions!$B$32*Assumptions!$B$6*D74</f>
      </c>
      <c r="D74">
        <f>IF(A74&lt;=3,Assumptions!$B$21,IF(A74&lt;=6,Assumptions!$B$22,IF(A74&lt;=12,Assumptions!$B$23,Assumptions!$B$24)))/100</f>
      </c>
      <c r="E74">
        <f>Assumptions!$B$5*Assumptions!$B$33*Assumptions!$B$6*D74</f>
      </c>
      <c r="F74">
        <f>Assumptions!$B$5*Assumptions!$B$7*Assumptions!$B$6*D74</f>
      </c>
      <c r="G74">
        <f>Assumptions!$B$8</f>
      </c>
      <c r="H74">
        <f>IF(INDEX(Assumptions!$B$35:$B$47,B74)&lt;&gt;"",INDEX(Assumptions!$B$35:$B$47,B74)/100*Assumptions!$B$2,IF(B74&lt;=Assumptions!$B$17,0,IF(B74&lt;=Assumptions!$B$17+Assumptions!$B$18,Assumptions!$B$19,Assumptions!$B$20)))/12</f>
      </c>
      <c r="I74">
        <f>IF(Assumptions!$B$12="Cash",0,IF(A74&lt;=Assumptions!$B$15,Monthly!$S$1,0))</f>
      </c>
      <c r="J74">
        <f>E74-F74-G74-H74-I74</f>
      </c>
      <c r="K74">
        <f>IF(AND(A74-CEILING(Assumptions!$E$27/30,1)&gt;=1,A74-CEILING(Assumptions!$E$27/30,1)&lt;=156),INDEX($E$2:$E$157,A74-CEILING(Assumptions!$E$27/30,1))*Assumptions!$B$27/100,0)</f>
      </c>
      <c r="L74">
        <f>IF(AND(A74-CEILING(Assumptions!$E$28/30,1)&gt;=1,A74-CEILING(Assumptions!$E$28/30,1)&lt;=156),INDEX($E$2:$E$157,A74-CEILING(Assumptions!$E$28/30,1))*Assumptions!$B$28/100,0)</f>
      </c>
      <c r="M74">
        <f>IF(AND(A74-CEILING(Assumptions!$E$29/30,1)&gt;=1,A74-CEILING(Assumptions!$E$29/30,1)&lt;=156),INDEX($E$2:$E$157,A74-CEILING(Assumptions!$E$29/30,1))*Assumptions!$B$29/100,0)</f>
      </c>
      <c r="N74">
        <f>IF(AND(A74-CEILING(Assumptions!$E$30/30,1)&gt;=1,A74-CEILING(Assumptions!$E$30/30,1)&lt;=156),INDEX($E$2:$E$157,A74-CEILING(Assumptions!$E$30/30,1))*Assumptions!$B$30/100,0)</f>
      </c>
      <c r="O74">
        <f>IF(AND(A74-CEILING(Assumptions!$E$31/30,1)&gt;=1,A74-CEILING(Assumptions!$E$31/30,1)&lt;=156),INDEX($E$2:$E$157,A74-CEILING(Assumptions!$E$31/30,1))*Assumptions!$B$31/100,0)</f>
      </c>
      <c r="P74">
        <f>K74+L74+M74+N74+O74</f>
      </c>
    </row>
    <row r="75" spans="1:16" x14ac:dyDescent="0.25">
      <c r="A75">
        <v>74</v>
      </c>
      <c r="B75">
        <v>7</v>
      </c>
      <c r="C75">
        <f>Assumptions!$B$5*Assumptions!$B$32*Assumptions!$B$6*D75</f>
      </c>
      <c r="D75">
        <f>IF(A75&lt;=3,Assumptions!$B$21,IF(A75&lt;=6,Assumptions!$B$22,IF(A75&lt;=12,Assumptions!$B$23,Assumptions!$B$24)))/100</f>
      </c>
      <c r="E75">
        <f>Assumptions!$B$5*Assumptions!$B$33*Assumptions!$B$6*D75</f>
      </c>
      <c r="F75">
        <f>Assumptions!$B$5*Assumptions!$B$7*Assumptions!$B$6*D75</f>
      </c>
      <c r="G75">
        <f>Assumptions!$B$8</f>
      </c>
      <c r="H75">
        <f>IF(INDEX(Assumptions!$B$35:$B$47,B75)&lt;&gt;"",INDEX(Assumptions!$B$35:$B$47,B75)/100*Assumptions!$B$2,IF(B75&lt;=Assumptions!$B$17,0,IF(B75&lt;=Assumptions!$B$17+Assumptions!$B$18,Assumptions!$B$19,Assumptions!$B$20)))/12</f>
      </c>
      <c r="I75">
        <f>IF(Assumptions!$B$12="Cash",0,IF(A75&lt;=Assumptions!$B$15,Monthly!$S$1,0))</f>
      </c>
      <c r="J75">
        <f>E75-F75-G75-H75-I75</f>
      </c>
      <c r="K75">
        <f>IF(AND(A75-CEILING(Assumptions!$E$27/30,1)&gt;=1,A75-CEILING(Assumptions!$E$27/30,1)&lt;=156),INDEX($E$2:$E$157,A75-CEILING(Assumptions!$E$27/30,1))*Assumptions!$B$27/100,0)</f>
      </c>
      <c r="L75">
        <f>IF(AND(A75-CEILING(Assumptions!$E$28/30,1)&gt;=1,A75-CEILING(Assumptions!$E$28/30,1)&lt;=156),INDEX($E$2:$E$157,A75-CEILING(Assumptions!$E$28/30,1))*Assumptions!$B$28/100,0)</f>
      </c>
      <c r="M75">
        <f>IF(AND(A75-CEILING(Assumptions!$E$29/30,1)&gt;=1,A75-CEILING(Assumptions!$E$29/30,1)&lt;=156),INDEX($E$2:$E$157,A75-CEILING(Assumptions!$E$29/30,1))*Assumptions!$B$29/100,0)</f>
      </c>
      <c r="N75">
        <f>IF(AND(A75-CEILING(Assumptions!$E$30/30,1)&gt;=1,A75-CEILING(Assumptions!$E$30/30,1)&lt;=156),INDEX($E$2:$E$157,A75-CEILING(Assumptions!$E$30/30,1))*Assumptions!$B$30/100,0)</f>
      </c>
      <c r="O75">
        <f>IF(AND(A75-CEILING(Assumptions!$E$31/30,1)&gt;=1,A75-CEILING(Assumptions!$E$31/30,1)&lt;=156),INDEX($E$2:$E$157,A75-CEILING(Assumptions!$E$31/30,1))*Assumptions!$B$31/100,0)</f>
      </c>
      <c r="P75">
        <f>K75+L75+M75+N75+O75</f>
      </c>
    </row>
    <row r="76" spans="1:16" x14ac:dyDescent="0.25">
      <c r="A76">
        <v>75</v>
      </c>
      <c r="B76">
        <v>7</v>
      </c>
      <c r="C76">
        <f>Assumptions!$B$5*Assumptions!$B$32*Assumptions!$B$6*D76</f>
      </c>
      <c r="D76">
        <f>IF(A76&lt;=3,Assumptions!$B$21,IF(A76&lt;=6,Assumptions!$B$22,IF(A76&lt;=12,Assumptions!$B$23,Assumptions!$B$24)))/100</f>
      </c>
      <c r="E76">
        <f>Assumptions!$B$5*Assumptions!$B$33*Assumptions!$B$6*D76</f>
      </c>
      <c r="F76">
        <f>Assumptions!$B$5*Assumptions!$B$7*Assumptions!$B$6*D76</f>
      </c>
      <c r="G76">
        <f>Assumptions!$B$8</f>
      </c>
      <c r="H76">
        <f>IF(INDEX(Assumptions!$B$35:$B$47,B76)&lt;&gt;"",INDEX(Assumptions!$B$35:$B$47,B76)/100*Assumptions!$B$2,IF(B76&lt;=Assumptions!$B$17,0,IF(B76&lt;=Assumptions!$B$17+Assumptions!$B$18,Assumptions!$B$19,Assumptions!$B$20)))/12</f>
      </c>
      <c r="I76">
        <f>IF(Assumptions!$B$12="Cash",0,IF(A76&lt;=Assumptions!$B$15,Monthly!$S$1,0))</f>
      </c>
      <c r="J76">
        <f>E76-F76-G76-H76-I76</f>
      </c>
      <c r="K76">
        <f>IF(AND(A76-CEILING(Assumptions!$E$27/30,1)&gt;=1,A76-CEILING(Assumptions!$E$27/30,1)&lt;=156),INDEX($E$2:$E$157,A76-CEILING(Assumptions!$E$27/30,1))*Assumptions!$B$27/100,0)</f>
      </c>
      <c r="L76">
        <f>IF(AND(A76-CEILING(Assumptions!$E$28/30,1)&gt;=1,A76-CEILING(Assumptions!$E$28/30,1)&lt;=156),INDEX($E$2:$E$157,A76-CEILING(Assumptions!$E$28/30,1))*Assumptions!$B$28/100,0)</f>
      </c>
      <c r="M76">
        <f>IF(AND(A76-CEILING(Assumptions!$E$29/30,1)&gt;=1,A76-CEILING(Assumptions!$E$29/30,1)&lt;=156),INDEX($E$2:$E$157,A76-CEILING(Assumptions!$E$29/30,1))*Assumptions!$B$29/100,0)</f>
      </c>
      <c r="N76">
        <f>IF(AND(A76-CEILING(Assumptions!$E$30/30,1)&gt;=1,A76-CEILING(Assumptions!$E$30/30,1)&lt;=156),INDEX($E$2:$E$157,A76-CEILING(Assumptions!$E$30/30,1))*Assumptions!$B$30/100,0)</f>
      </c>
      <c r="O76">
        <f>IF(AND(A76-CEILING(Assumptions!$E$31/30,1)&gt;=1,A76-CEILING(Assumptions!$E$31/30,1)&lt;=156),INDEX($E$2:$E$157,A76-CEILING(Assumptions!$E$31/30,1))*Assumptions!$B$31/100,0)</f>
      </c>
      <c r="P76">
        <f>K76+L76+M76+N76+O76</f>
      </c>
    </row>
    <row r="77" spans="1:16" x14ac:dyDescent="0.25">
      <c r="A77">
        <v>76</v>
      </c>
      <c r="B77">
        <v>7</v>
      </c>
      <c r="C77">
        <f>Assumptions!$B$5*Assumptions!$B$32*Assumptions!$B$6*D77</f>
      </c>
      <c r="D77">
        <f>IF(A77&lt;=3,Assumptions!$B$21,IF(A77&lt;=6,Assumptions!$B$22,IF(A77&lt;=12,Assumptions!$B$23,Assumptions!$B$24)))/100</f>
      </c>
      <c r="E77">
        <f>Assumptions!$B$5*Assumptions!$B$33*Assumptions!$B$6*D77</f>
      </c>
      <c r="F77">
        <f>Assumptions!$B$5*Assumptions!$B$7*Assumptions!$B$6*D77</f>
      </c>
      <c r="G77">
        <f>Assumptions!$B$8</f>
      </c>
      <c r="H77">
        <f>IF(INDEX(Assumptions!$B$35:$B$47,B77)&lt;&gt;"",INDEX(Assumptions!$B$35:$B$47,B77)/100*Assumptions!$B$2,IF(B77&lt;=Assumptions!$B$17,0,IF(B77&lt;=Assumptions!$B$17+Assumptions!$B$18,Assumptions!$B$19,Assumptions!$B$20)))/12</f>
      </c>
      <c r="I77">
        <f>IF(Assumptions!$B$12="Cash",0,IF(A77&lt;=Assumptions!$B$15,Monthly!$S$1,0))</f>
      </c>
      <c r="J77">
        <f>E77-F77-G77-H77-I77</f>
      </c>
      <c r="K77">
        <f>IF(AND(A77-CEILING(Assumptions!$E$27/30,1)&gt;=1,A77-CEILING(Assumptions!$E$27/30,1)&lt;=156),INDEX($E$2:$E$157,A77-CEILING(Assumptions!$E$27/30,1))*Assumptions!$B$27/100,0)</f>
      </c>
      <c r="L77">
        <f>IF(AND(A77-CEILING(Assumptions!$E$28/30,1)&gt;=1,A77-CEILING(Assumptions!$E$28/30,1)&lt;=156),INDEX($E$2:$E$157,A77-CEILING(Assumptions!$E$28/30,1))*Assumptions!$B$28/100,0)</f>
      </c>
      <c r="M77">
        <f>IF(AND(A77-CEILING(Assumptions!$E$29/30,1)&gt;=1,A77-CEILING(Assumptions!$E$29/30,1)&lt;=156),INDEX($E$2:$E$157,A77-CEILING(Assumptions!$E$29/30,1))*Assumptions!$B$29/100,0)</f>
      </c>
      <c r="N77">
        <f>IF(AND(A77-CEILING(Assumptions!$E$30/30,1)&gt;=1,A77-CEILING(Assumptions!$E$30/30,1)&lt;=156),INDEX($E$2:$E$157,A77-CEILING(Assumptions!$E$30/30,1))*Assumptions!$B$30/100,0)</f>
      </c>
      <c r="O77">
        <f>IF(AND(A77-CEILING(Assumptions!$E$31/30,1)&gt;=1,A77-CEILING(Assumptions!$E$31/30,1)&lt;=156),INDEX($E$2:$E$157,A77-CEILING(Assumptions!$E$31/30,1))*Assumptions!$B$31/100,0)</f>
      </c>
      <c r="P77">
        <f>K77+L77+M77+N77+O77</f>
      </c>
    </row>
    <row r="78" spans="1:16" x14ac:dyDescent="0.25">
      <c r="A78">
        <v>77</v>
      </c>
      <c r="B78">
        <v>7</v>
      </c>
      <c r="C78">
        <f>Assumptions!$B$5*Assumptions!$B$32*Assumptions!$B$6*D78</f>
      </c>
      <c r="D78">
        <f>IF(A78&lt;=3,Assumptions!$B$21,IF(A78&lt;=6,Assumptions!$B$22,IF(A78&lt;=12,Assumptions!$B$23,Assumptions!$B$24)))/100</f>
      </c>
      <c r="E78">
        <f>Assumptions!$B$5*Assumptions!$B$33*Assumptions!$B$6*D78</f>
      </c>
      <c r="F78">
        <f>Assumptions!$B$5*Assumptions!$B$7*Assumptions!$B$6*D78</f>
      </c>
      <c r="G78">
        <f>Assumptions!$B$8</f>
      </c>
      <c r="H78">
        <f>IF(INDEX(Assumptions!$B$35:$B$47,B78)&lt;&gt;"",INDEX(Assumptions!$B$35:$B$47,B78)/100*Assumptions!$B$2,IF(B78&lt;=Assumptions!$B$17,0,IF(B78&lt;=Assumptions!$B$17+Assumptions!$B$18,Assumptions!$B$19,Assumptions!$B$20)))/12</f>
      </c>
      <c r="I78">
        <f>IF(Assumptions!$B$12="Cash",0,IF(A78&lt;=Assumptions!$B$15,Monthly!$S$1,0))</f>
      </c>
      <c r="J78">
        <f>E78-F78-G78-H78-I78</f>
      </c>
      <c r="K78">
        <f>IF(AND(A78-CEILING(Assumptions!$E$27/30,1)&gt;=1,A78-CEILING(Assumptions!$E$27/30,1)&lt;=156),INDEX($E$2:$E$157,A78-CEILING(Assumptions!$E$27/30,1))*Assumptions!$B$27/100,0)</f>
      </c>
      <c r="L78">
        <f>IF(AND(A78-CEILING(Assumptions!$E$28/30,1)&gt;=1,A78-CEILING(Assumptions!$E$28/30,1)&lt;=156),INDEX($E$2:$E$157,A78-CEILING(Assumptions!$E$28/30,1))*Assumptions!$B$28/100,0)</f>
      </c>
      <c r="M78">
        <f>IF(AND(A78-CEILING(Assumptions!$E$29/30,1)&gt;=1,A78-CEILING(Assumptions!$E$29/30,1)&lt;=156),INDEX($E$2:$E$157,A78-CEILING(Assumptions!$E$29/30,1))*Assumptions!$B$29/100,0)</f>
      </c>
      <c r="N78">
        <f>IF(AND(A78-CEILING(Assumptions!$E$30/30,1)&gt;=1,A78-CEILING(Assumptions!$E$30/30,1)&lt;=156),INDEX($E$2:$E$157,A78-CEILING(Assumptions!$E$30/30,1))*Assumptions!$B$30/100,0)</f>
      </c>
      <c r="O78">
        <f>IF(AND(A78-CEILING(Assumptions!$E$31/30,1)&gt;=1,A78-CEILING(Assumptions!$E$31/30,1)&lt;=156),INDEX($E$2:$E$157,A78-CEILING(Assumptions!$E$31/30,1))*Assumptions!$B$31/100,0)</f>
      </c>
      <c r="P78">
        <f>K78+L78+M78+N78+O78</f>
      </c>
    </row>
    <row r="79" spans="1:16" x14ac:dyDescent="0.25">
      <c r="A79">
        <v>78</v>
      </c>
      <c r="B79">
        <v>7</v>
      </c>
      <c r="C79">
        <f>Assumptions!$B$5*Assumptions!$B$32*Assumptions!$B$6*D79</f>
      </c>
      <c r="D79">
        <f>IF(A79&lt;=3,Assumptions!$B$21,IF(A79&lt;=6,Assumptions!$B$22,IF(A79&lt;=12,Assumptions!$B$23,Assumptions!$B$24)))/100</f>
      </c>
      <c r="E79">
        <f>Assumptions!$B$5*Assumptions!$B$33*Assumptions!$B$6*D79</f>
      </c>
      <c r="F79">
        <f>Assumptions!$B$5*Assumptions!$B$7*Assumptions!$B$6*D79</f>
      </c>
      <c r="G79">
        <f>Assumptions!$B$8</f>
      </c>
      <c r="H79">
        <f>IF(INDEX(Assumptions!$B$35:$B$47,B79)&lt;&gt;"",INDEX(Assumptions!$B$35:$B$47,B79)/100*Assumptions!$B$2,IF(B79&lt;=Assumptions!$B$17,0,IF(B79&lt;=Assumptions!$B$17+Assumptions!$B$18,Assumptions!$B$19,Assumptions!$B$20)))/12</f>
      </c>
      <c r="I79">
        <f>IF(Assumptions!$B$12="Cash",0,IF(A79&lt;=Assumptions!$B$15,Monthly!$S$1,0))</f>
      </c>
      <c r="J79">
        <f>E79-F79-G79-H79-I79</f>
      </c>
      <c r="K79">
        <f>IF(AND(A79-CEILING(Assumptions!$E$27/30,1)&gt;=1,A79-CEILING(Assumptions!$E$27/30,1)&lt;=156),INDEX($E$2:$E$157,A79-CEILING(Assumptions!$E$27/30,1))*Assumptions!$B$27/100,0)</f>
      </c>
      <c r="L79">
        <f>IF(AND(A79-CEILING(Assumptions!$E$28/30,1)&gt;=1,A79-CEILING(Assumptions!$E$28/30,1)&lt;=156),INDEX($E$2:$E$157,A79-CEILING(Assumptions!$E$28/30,1))*Assumptions!$B$28/100,0)</f>
      </c>
      <c r="M79">
        <f>IF(AND(A79-CEILING(Assumptions!$E$29/30,1)&gt;=1,A79-CEILING(Assumptions!$E$29/30,1)&lt;=156),INDEX($E$2:$E$157,A79-CEILING(Assumptions!$E$29/30,1))*Assumptions!$B$29/100,0)</f>
      </c>
      <c r="N79">
        <f>IF(AND(A79-CEILING(Assumptions!$E$30/30,1)&gt;=1,A79-CEILING(Assumptions!$E$30/30,1)&lt;=156),INDEX($E$2:$E$157,A79-CEILING(Assumptions!$E$30/30,1))*Assumptions!$B$30/100,0)</f>
      </c>
      <c r="O79">
        <f>IF(AND(A79-CEILING(Assumptions!$E$31/30,1)&gt;=1,A79-CEILING(Assumptions!$E$31/30,1)&lt;=156),INDEX($E$2:$E$157,A79-CEILING(Assumptions!$E$31/30,1))*Assumptions!$B$31/100,0)</f>
      </c>
      <c r="P79">
        <f>K79+L79+M79+N79+O79</f>
      </c>
    </row>
    <row r="80" spans="1:16" x14ac:dyDescent="0.25">
      <c r="A80">
        <v>79</v>
      </c>
      <c r="B80">
        <v>7</v>
      </c>
      <c r="C80">
        <f>Assumptions!$B$5*Assumptions!$B$32*Assumptions!$B$6*D80</f>
      </c>
      <c r="D80">
        <f>IF(A80&lt;=3,Assumptions!$B$21,IF(A80&lt;=6,Assumptions!$B$22,IF(A80&lt;=12,Assumptions!$B$23,Assumptions!$B$24)))/100</f>
      </c>
      <c r="E80">
        <f>Assumptions!$B$5*Assumptions!$B$33*Assumptions!$B$6*D80</f>
      </c>
      <c r="F80">
        <f>Assumptions!$B$5*Assumptions!$B$7*Assumptions!$B$6*D80</f>
      </c>
      <c r="G80">
        <f>Assumptions!$B$8</f>
      </c>
      <c r="H80">
        <f>IF(INDEX(Assumptions!$B$35:$B$47,B80)&lt;&gt;"",INDEX(Assumptions!$B$35:$B$47,B80)/100*Assumptions!$B$2,IF(B80&lt;=Assumptions!$B$17,0,IF(B80&lt;=Assumptions!$B$17+Assumptions!$B$18,Assumptions!$B$19,Assumptions!$B$20)))/12</f>
      </c>
      <c r="I80">
        <f>IF(Assumptions!$B$12="Cash",0,IF(A80&lt;=Assumptions!$B$15,Monthly!$S$1,0))</f>
      </c>
      <c r="J80">
        <f>E80-F80-G80-H80-I80</f>
      </c>
      <c r="K80">
        <f>IF(AND(A80-CEILING(Assumptions!$E$27/30,1)&gt;=1,A80-CEILING(Assumptions!$E$27/30,1)&lt;=156),INDEX($E$2:$E$157,A80-CEILING(Assumptions!$E$27/30,1))*Assumptions!$B$27/100,0)</f>
      </c>
      <c r="L80">
        <f>IF(AND(A80-CEILING(Assumptions!$E$28/30,1)&gt;=1,A80-CEILING(Assumptions!$E$28/30,1)&lt;=156),INDEX($E$2:$E$157,A80-CEILING(Assumptions!$E$28/30,1))*Assumptions!$B$28/100,0)</f>
      </c>
      <c r="M80">
        <f>IF(AND(A80-CEILING(Assumptions!$E$29/30,1)&gt;=1,A80-CEILING(Assumptions!$E$29/30,1)&lt;=156),INDEX($E$2:$E$157,A80-CEILING(Assumptions!$E$29/30,1))*Assumptions!$B$29/100,0)</f>
      </c>
      <c r="N80">
        <f>IF(AND(A80-CEILING(Assumptions!$E$30/30,1)&gt;=1,A80-CEILING(Assumptions!$E$30/30,1)&lt;=156),INDEX($E$2:$E$157,A80-CEILING(Assumptions!$E$30/30,1))*Assumptions!$B$30/100,0)</f>
      </c>
      <c r="O80">
        <f>IF(AND(A80-CEILING(Assumptions!$E$31/30,1)&gt;=1,A80-CEILING(Assumptions!$E$31/30,1)&lt;=156),INDEX($E$2:$E$157,A80-CEILING(Assumptions!$E$31/30,1))*Assumptions!$B$31/100,0)</f>
      </c>
      <c r="P80">
        <f>K80+L80+M80+N80+O80</f>
      </c>
    </row>
    <row r="81" spans="1:16" x14ac:dyDescent="0.25">
      <c r="A81">
        <v>80</v>
      </c>
      <c r="B81">
        <v>7</v>
      </c>
      <c r="C81">
        <f>Assumptions!$B$5*Assumptions!$B$32*Assumptions!$B$6*D81</f>
      </c>
      <c r="D81">
        <f>IF(A81&lt;=3,Assumptions!$B$21,IF(A81&lt;=6,Assumptions!$B$22,IF(A81&lt;=12,Assumptions!$B$23,Assumptions!$B$24)))/100</f>
      </c>
      <c r="E81">
        <f>Assumptions!$B$5*Assumptions!$B$33*Assumptions!$B$6*D81</f>
      </c>
      <c r="F81">
        <f>Assumptions!$B$5*Assumptions!$B$7*Assumptions!$B$6*D81</f>
      </c>
      <c r="G81">
        <f>Assumptions!$B$8</f>
      </c>
      <c r="H81">
        <f>IF(INDEX(Assumptions!$B$35:$B$47,B81)&lt;&gt;"",INDEX(Assumptions!$B$35:$B$47,B81)/100*Assumptions!$B$2,IF(B81&lt;=Assumptions!$B$17,0,IF(B81&lt;=Assumptions!$B$17+Assumptions!$B$18,Assumptions!$B$19,Assumptions!$B$20)))/12</f>
      </c>
      <c r="I81">
        <f>IF(Assumptions!$B$12="Cash",0,IF(A81&lt;=Assumptions!$B$15,Monthly!$S$1,0))</f>
      </c>
      <c r="J81">
        <f>E81-F81-G81-H81-I81</f>
      </c>
      <c r="K81">
        <f>IF(AND(A81-CEILING(Assumptions!$E$27/30,1)&gt;=1,A81-CEILING(Assumptions!$E$27/30,1)&lt;=156),INDEX($E$2:$E$157,A81-CEILING(Assumptions!$E$27/30,1))*Assumptions!$B$27/100,0)</f>
      </c>
      <c r="L81">
        <f>IF(AND(A81-CEILING(Assumptions!$E$28/30,1)&gt;=1,A81-CEILING(Assumptions!$E$28/30,1)&lt;=156),INDEX($E$2:$E$157,A81-CEILING(Assumptions!$E$28/30,1))*Assumptions!$B$28/100,0)</f>
      </c>
      <c r="M81">
        <f>IF(AND(A81-CEILING(Assumptions!$E$29/30,1)&gt;=1,A81-CEILING(Assumptions!$E$29/30,1)&lt;=156),INDEX($E$2:$E$157,A81-CEILING(Assumptions!$E$29/30,1))*Assumptions!$B$29/100,0)</f>
      </c>
      <c r="N81">
        <f>IF(AND(A81-CEILING(Assumptions!$E$30/30,1)&gt;=1,A81-CEILING(Assumptions!$E$30/30,1)&lt;=156),INDEX($E$2:$E$157,A81-CEILING(Assumptions!$E$30/30,1))*Assumptions!$B$30/100,0)</f>
      </c>
      <c r="O81">
        <f>IF(AND(A81-CEILING(Assumptions!$E$31/30,1)&gt;=1,A81-CEILING(Assumptions!$E$31/30,1)&lt;=156),INDEX($E$2:$E$157,A81-CEILING(Assumptions!$E$31/30,1))*Assumptions!$B$31/100,0)</f>
      </c>
      <c r="P81">
        <f>K81+L81+M81+N81+O81</f>
      </c>
    </row>
    <row r="82" spans="1:16" x14ac:dyDescent="0.25">
      <c r="A82">
        <v>81</v>
      </c>
      <c r="B82">
        <v>7</v>
      </c>
      <c r="C82">
        <f>Assumptions!$B$5*Assumptions!$B$32*Assumptions!$B$6*D82</f>
      </c>
      <c r="D82">
        <f>IF(A82&lt;=3,Assumptions!$B$21,IF(A82&lt;=6,Assumptions!$B$22,IF(A82&lt;=12,Assumptions!$B$23,Assumptions!$B$24)))/100</f>
      </c>
      <c r="E82">
        <f>Assumptions!$B$5*Assumptions!$B$33*Assumptions!$B$6*D82</f>
      </c>
      <c r="F82">
        <f>Assumptions!$B$5*Assumptions!$B$7*Assumptions!$B$6*D82</f>
      </c>
      <c r="G82">
        <f>Assumptions!$B$8</f>
      </c>
      <c r="H82">
        <f>IF(INDEX(Assumptions!$B$35:$B$47,B82)&lt;&gt;"",INDEX(Assumptions!$B$35:$B$47,B82)/100*Assumptions!$B$2,IF(B82&lt;=Assumptions!$B$17,0,IF(B82&lt;=Assumptions!$B$17+Assumptions!$B$18,Assumptions!$B$19,Assumptions!$B$20)))/12</f>
      </c>
      <c r="I82">
        <f>IF(Assumptions!$B$12="Cash",0,IF(A82&lt;=Assumptions!$B$15,Monthly!$S$1,0))</f>
      </c>
      <c r="J82">
        <f>E82-F82-G82-H82-I82</f>
      </c>
      <c r="K82">
        <f>IF(AND(A82-CEILING(Assumptions!$E$27/30,1)&gt;=1,A82-CEILING(Assumptions!$E$27/30,1)&lt;=156),INDEX($E$2:$E$157,A82-CEILING(Assumptions!$E$27/30,1))*Assumptions!$B$27/100,0)</f>
      </c>
      <c r="L82">
        <f>IF(AND(A82-CEILING(Assumptions!$E$28/30,1)&gt;=1,A82-CEILING(Assumptions!$E$28/30,1)&lt;=156),INDEX($E$2:$E$157,A82-CEILING(Assumptions!$E$28/30,1))*Assumptions!$B$28/100,0)</f>
      </c>
      <c r="M82">
        <f>IF(AND(A82-CEILING(Assumptions!$E$29/30,1)&gt;=1,A82-CEILING(Assumptions!$E$29/30,1)&lt;=156),INDEX($E$2:$E$157,A82-CEILING(Assumptions!$E$29/30,1))*Assumptions!$B$29/100,0)</f>
      </c>
      <c r="N82">
        <f>IF(AND(A82-CEILING(Assumptions!$E$30/30,1)&gt;=1,A82-CEILING(Assumptions!$E$30/30,1)&lt;=156),INDEX($E$2:$E$157,A82-CEILING(Assumptions!$E$30/30,1))*Assumptions!$B$30/100,0)</f>
      </c>
      <c r="O82">
        <f>IF(AND(A82-CEILING(Assumptions!$E$31/30,1)&gt;=1,A82-CEILING(Assumptions!$E$31/30,1)&lt;=156),INDEX($E$2:$E$157,A82-CEILING(Assumptions!$E$31/30,1))*Assumptions!$B$31/100,0)</f>
      </c>
      <c r="P82">
        <f>K82+L82+M82+N82+O82</f>
      </c>
    </row>
    <row r="83" spans="1:16" x14ac:dyDescent="0.25">
      <c r="A83">
        <v>82</v>
      </c>
      <c r="B83">
        <v>7</v>
      </c>
      <c r="C83">
        <f>Assumptions!$B$5*Assumptions!$B$32*Assumptions!$B$6*D83</f>
      </c>
      <c r="D83">
        <f>IF(A83&lt;=3,Assumptions!$B$21,IF(A83&lt;=6,Assumptions!$B$22,IF(A83&lt;=12,Assumptions!$B$23,Assumptions!$B$24)))/100</f>
      </c>
      <c r="E83">
        <f>Assumptions!$B$5*Assumptions!$B$33*Assumptions!$B$6*D83</f>
      </c>
      <c r="F83">
        <f>Assumptions!$B$5*Assumptions!$B$7*Assumptions!$B$6*D83</f>
      </c>
      <c r="G83">
        <f>Assumptions!$B$8</f>
      </c>
      <c r="H83">
        <f>IF(INDEX(Assumptions!$B$35:$B$47,B83)&lt;&gt;"",INDEX(Assumptions!$B$35:$B$47,B83)/100*Assumptions!$B$2,IF(B83&lt;=Assumptions!$B$17,0,IF(B83&lt;=Assumptions!$B$17+Assumptions!$B$18,Assumptions!$B$19,Assumptions!$B$20)))/12</f>
      </c>
      <c r="I83">
        <f>IF(Assumptions!$B$12="Cash",0,IF(A83&lt;=Assumptions!$B$15,Monthly!$S$1,0))</f>
      </c>
      <c r="J83">
        <f>E83-F83-G83-H83-I83</f>
      </c>
      <c r="K83">
        <f>IF(AND(A83-CEILING(Assumptions!$E$27/30,1)&gt;=1,A83-CEILING(Assumptions!$E$27/30,1)&lt;=156),INDEX($E$2:$E$157,A83-CEILING(Assumptions!$E$27/30,1))*Assumptions!$B$27/100,0)</f>
      </c>
      <c r="L83">
        <f>IF(AND(A83-CEILING(Assumptions!$E$28/30,1)&gt;=1,A83-CEILING(Assumptions!$E$28/30,1)&lt;=156),INDEX($E$2:$E$157,A83-CEILING(Assumptions!$E$28/30,1))*Assumptions!$B$28/100,0)</f>
      </c>
      <c r="M83">
        <f>IF(AND(A83-CEILING(Assumptions!$E$29/30,1)&gt;=1,A83-CEILING(Assumptions!$E$29/30,1)&lt;=156),INDEX($E$2:$E$157,A83-CEILING(Assumptions!$E$29/30,1))*Assumptions!$B$29/100,0)</f>
      </c>
      <c r="N83">
        <f>IF(AND(A83-CEILING(Assumptions!$E$30/30,1)&gt;=1,A83-CEILING(Assumptions!$E$30/30,1)&lt;=156),INDEX($E$2:$E$157,A83-CEILING(Assumptions!$E$30/30,1))*Assumptions!$B$30/100,0)</f>
      </c>
      <c r="O83">
        <f>IF(AND(A83-CEILING(Assumptions!$E$31/30,1)&gt;=1,A83-CEILING(Assumptions!$E$31/30,1)&lt;=156),INDEX($E$2:$E$157,A83-CEILING(Assumptions!$E$31/30,1))*Assumptions!$B$31/100,0)</f>
      </c>
      <c r="P83">
        <f>K83+L83+M83+N83+O83</f>
      </c>
    </row>
    <row r="84" spans="1:16" x14ac:dyDescent="0.25">
      <c r="A84">
        <v>83</v>
      </c>
      <c r="B84">
        <v>7</v>
      </c>
      <c r="C84">
        <f>Assumptions!$B$5*Assumptions!$B$32*Assumptions!$B$6*D84</f>
      </c>
      <c r="D84">
        <f>IF(A84&lt;=3,Assumptions!$B$21,IF(A84&lt;=6,Assumptions!$B$22,IF(A84&lt;=12,Assumptions!$B$23,Assumptions!$B$24)))/100</f>
      </c>
      <c r="E84">
        <f>Assumptions!$B$5*Assumptions!$B$33*Assumptions!$B$6*D84</f>
      </c>
      <c r="F84">
        <f>Assumptions!$B$5*Assumptions!$B$7*Assumptions!$B$6*D84</f>
      </c>
      <c r="G84">
        <f>Assumptions!$B$8</f>
      </c>
      <c r="H84">
        <f>IF(INDEX(Assumptions!$B$35:$B$47,B84)&lt;&gt;"",INDEX(Assumptions!$B$35:$B$47,B84)/100*Assumptions!$B$2,IF(B84&lt;=Assumptions!$B$17,0,IF(B84&lt;=Assumptions!$B$17+Assumptions!$B$18,Assumptions!$B$19,Assumptions!$B$20)))/12</f>
      </c>
      <c r="I84">
        <f>IF(Assumptions!$B$12="Cash",0,IF(A84&lt;=Assumptions!$B$15,Monthly!$S$1,0))</f>
      </c>
      <c r="J84">
        <f>E84-F84-G84-H84-I84</f>
      </c>
      <c r="K84">
        <f>IF(AND(A84-CEILING(Assumptions!$E$27/30,1)&gt;=1,A84-CEILING(Assumptions!$E$27/30,1)&lt;=156),INDEX($E$2:$E$157,A84-CEILING(Assumptions!$E$27/30,1))*Assumptions!$B$27/100,0)</f>
      </c>
      <c r="L84">
        <f>IF(AND(A84-CEILING(Assumptions!$E$28/30,1)&gt;=1,A84-CEILING(Assumptions!$E$28/30,1)&lt;=156),INDEX($E$2:$E$157,A84-CEILING(Assumptions!$E$28/30,1))*Assumptions!$B$28/100,0)</f>
      </c>
      <c r="M84">
        <f>IF(AND(A84-CEILING(Assumptions!$E$29/30,1)&gt;=1,A84-CEILING(Assumptions!$E$29/30,1)&lt;=156),INDEX($E$2:$E$157,A84-CEILING(Assumptions!$E$29/30,1))*Assumptions!$B$29/100,0)</f>
      </c>
      <c r="N84">
        <f>IF(AND(A84-CEILING(Assumptions!$E$30/30,1)&gt;=1,A84-CEILING(Assumptions!$E$30/30,1)&lt;=156),INDEX($E$2:$E$157,A84-CEILING(Assumptions!$E$30/30,1))*Assumptions!$B$30/100,0)</f>
      </c>
      <c r="O84">
        <f>IF(AND(A84-CEILING(Assumptions!$E$31/30,1)&gt;=1,A84-CEILING(Assumptions!$E$31/30,1)&lt;=156),INDEX($E$2:$E$157,A84-CEILING(Assumptions!$E$31/30,1))*Assumptions!$B$31/100,0)</f>
      </c>
      <c r="P84">
        <f>K84+L84+M84+N84+O84</f>
      </c>
    </row>
    <row r="85" spans="1:16" x14ac:dyDescent="0.25">
      <c r="A85">
        <v>84</v>
      </c>
      <c r="B85">
        <v>7</v>
      </c>
      <c r="C85">
        <f>Assumptions!$B$5*Assumptions!$B$32*Assumptions!$B$6*D85</f>
      </c>
      <c r="D85">
        <f>IF(A85&lt;=3,Assumptions!$B$21,IF(A85&lt;=6,Assumptions!$B$22,IF(A85&lt;=12,Assumptions!$B$23,Assumptions!$B$24)))/100</f>
      </c>
      <c r="E85">
        <f>Assumptions!$B$5*Assumptions!$B$33*Assumptions!$B$6*D85</f>
      </c>
      <c r="F85">
        <f>Assumptions!$B$5*Assumptions!$B$7*Assumptions!$B$6*D85</f>
      </c>
      <c r="G85">
        <f>Assumptions!$B$8</f>
      </c>
      <c r="H85">
        <f>IF(INDEX(Assumptions!$B$35:$B$47,B85)&lt;&gt;"",INDEX(Assumptions!$B$35:$B$47,B85)/100*Assumptions!$B$2,IF(B85&lt;=Assumptions!$B$17,0,IF(B85&lt;=Assumptions!$B$17+Assumptions!$B$18,Assumptions!$B$19,Assumptions!$B$20)))/12</f>
      </c>
      <c r="I85">
        <f>IF(Assumptions!$B$12="Cash",0,IF(A85&lt;=Assumptions!$B$15,Monthly!$S$1,0))</f>
      </c>
      <c r="J85">
        <f>E85-F85-G85-H85-I85</f>
      </c>
      <c r="K85">
        <f>IF(AND(A85-CEILING(Assumptions!$E$27/30,1)&gt;=1,A85-CEILING(Assumptions!$E$27/30,1)&lt;=156),INDEX($E$2:$E$157,A85-CEILING(Assumptions!$E$27/30,1))*Assumptions!$B$27/100,0)</f>
      </c>
      <c r="L85">
        <f>IF(AND(A85-CEILING(Assumptions!$E$28/30,1)&gt;=1,A85-CEILING(Assumptions!$E$28/30,1)&lt;=156),INDEX($E$2:$E$157,A85-CEILING(Assumptions!$E$28/30,1))*Assumptions!$B$28/100,0)</f>
      </c>
      <c r="M85">
        <f>IF(AND(A85-CEILING(Assumptions!$E$29/30,1)&gt;=1,A85-CEILING(Assumptions!$E$29/30,1)&lt;=156),INDEX($E$2:$E$157,A85-CEILING(Assumptions!$E$29/30,1))*Assumptions!$B$29/100,0)</f>
      </c>
      <c r="N85">
        <f>IF(AND(A85-CEILING(Assumptions!$E$30/30,1)&gt;=1,A85-CEILING(Assumptions!$E$30/30,1)&lt;=156),INDEX($E$2:$E$157,A85-CEILING(Assumptions!$E$30/30,1))*Assumptions!$B$30/100,0)</f>
      </c>
      <c r="O85">
        <f>IF(AND(A85-CEILING(Assumptions!$E$31/30,1)&gt;=1,A85-CEILING(Assumptions!$E$31/30,1)&lt;=156),INDEX($E$2:$E$157,A85-CEILING(Assumptions!$E$31/30,1))*Assumptions!$B$31/100,0)</f>
      </c>
      <c r="P85">
        <f>K85+L85+M85+N85+O85</f>
      </c>
    </row>
    <row r="86" spans="1:16" x14ac:dyDescent="0.25">
      <c r="A86">
        <v>85</v>
      </c>
      <c r="B86">
        <v>8</v>
      </c>
      <c r="C86">
        <f>Assumptions!$B$5*Assumptions!$B$32*Assumptions!$B$6*D86</f>
      </c>
      <c r="D86">
        <f>IF(A86&lt;=3,Assumptions!$B$21,IF(A86&lt;=6,Assumptions!$B$22,IF(A86&lt;=12,Assumptions!$B$23,Assumptions!$B$24)))/100</f>
      </c>
      <c r="E86">
        <f>Assumptions!$B$5*Assumptions!$B$33*Assumptions!$B$6*D86</f>
      </c>
      <c r="F86">
        <f>Assumptions!$B$5*Assumptions!$B$7*Assumptions!$B$6*D86</f>
      </c>
      <c r="G86">
        <f>Assumptions!$B$8</f>
      </c>
      <c r="H86">
        <f>IF(INDEX(Assumptions!$B$35:$B$47,B86)&lt;&gt;"",INDEX(Assumptions!$B$35:$B$47,B86)/100*Assumptions!$B$2,IF(B86&lt;=Assumptions!$B$17,0,IF(B86&lt;=Assumptions!$B$17+Assumptions!$B$18,Assumptions!$B$19,Assumptions!$B$20)))/12</f>
      </c>
      <c r="I86">
        <f>IF(Assumptions!$B$12="Cash",0,IF(A86&lt;=Assumptions!$B$15,Monthly!$S$1,0))</f>
      </c>
      <c r="J86">
        <f>E86-F86-G86-H86-I86</f>
      </c>
      <c r="K86">
        <f>IF(AND(A86-CEILING(Assumptions!$E$27/30,1)&gt;=1,A86-CEILING(Assumptions!$E$27/30,1)&lt;=156),INDEX($E$2:$E$157,A86-CEILING(Assumptions!$E$27/30,1))*Assumptions!$B$27/100,0)</f>
      </c>
      <c r="L86">
        <f>IF(AND(A86-CEILING(Assumptions!$E$28/30,1)&gt;=1,A86-CEILING(Assumptions!$E$28/30,1)&lt;=156),INDEX($E$2:$E$157,A86-CEILING(Assumptions!$E$28/30,1))*Assumptions!$B$28/100,0)</f>
      </c>
      <c r="M86">
        <f>IF(AND(A86-CEILING(Assumptions!$E$29/30,1)&gt;=1,A86-CEILING(Assumptions!$E$29/30,1)&lt;=156),INDEX($E$2:$E$157,A86-CEILING(Assumptions!$E$29/30,1))*Assumptions!$B$29/100,0)</f>
      </c>
      <c r="N86">
        <f>IF(AND(A86-CEILING(Assumptions!$E$30/30,1)&gt;=1,A86-CEILING(Assumptions!$E$30/30,1)&lt;=156),INDEX($E$2:$E$157,A86-CEILING(Assumptions!$E$30/30,1))*Assumptions!$B$30/100,0)</f>
      </c>
      <c r="O86">
        <f>IF(AND(A86-CEILING(Assumptions!$E$31/30,1)&gt;=1,A86-CEILING(Assumptions!$E$31/30,1)&lt;=156),INDEX($E$2:$E$157,A86-CEILING(Assumptions!$E$31/30,1))*Assumptions!$B$31/100,0)</f>
      </c>
      <c r="P86">
        <f>K86+L86+M86+N86+O86</f>
      </c>
    </row>
    <row r="87" spans="1:16" x14ac:dyDescent="0.25">
      <c r="A87">
        <v>86</v>
      </c>
      <c r="B87">
        <v>8</v>
      </c>
      <c r="C87">
        <f>Assumptions!$B$5*Assumptions!$B$32*Assumptions!$B$6*D87</f>
      </c>
      <c r="D87">
        <f>IF(A87&lt;=3,Assumptions!$B$21,IF(A87&lt;=6,Assumptions!$B$22,IF(A87&lt;=12,Assumptions!$B$23,Assumptions!$B$24)))/100</f>
      </c>
      <c r="E87">
        <f>Assumptions!$B$5*Assumptions!$B$33*Assumptions!$B$6*D87</f>
      </c>
      <c r="F87">
        <f>Assumptions!$B$5*Assumptions!$B$7*Assumptions!$B$6*D87</f>
      </c>
      <c r="G87">
        <f>Assumptions!$B$8</f>
      </c>
      <c r="H87">
        <f>IF(INDEX(Assumptions!$B$35:$B$47,B87)&lt;&gt;"",INDEX(Assumptions!$B$35:$B$47,B87)/100*Assumptions!$B$2,IF(B87&lt;=Assumptions!$B$17,0,IF(B87&lt;=Assumptions!$B$17+Assumptions!$B$18,Assumptions!$B$19,Assumptions!$B$20)))/12</f>
      </c>
      <c r="I87">
        <f>IF(Assumptions!$B$12="Cash",0,IF(A87&lt;=Assumptions!$B$15,Monthly!$S$1,0))</f>
      </c>
      <c r="J87">
        <f>E87-F87-G87-H87-I87</f>
      </c>
      <c r="K87">
        <f>IF(AND(A87-CEILING(Assumptions!$E$27/30,1)&gt;=1,A87-CEILING(Assumptions!$E$27/30,1)&lt;=156),INDEX($E$2:$E$157,A87-CEILING(Assumptions!$E$27/30,1))*Assumptions!$B$27/100,0)</f>
      </c>
      <c r="L87">
        <f>IF(AND(A87-CEILING(Assumptions!$E$28/30,1)&gt;=1,A87-CEILING(Assumptions!$E$28/30,1)&lt;=156),INDEX($E$2:$E$157,A87-CEILING(Assumptions!$E$28/30,1))*Assumptions!$B$28/100,0)</f>
      </c>
      <c r="M87">
        <f>IF(AND(A87-CEILING(Assumptions!$E$29/30,1)&gt;=1,A87-CEILING(Assumptions!$E$29/30,1)&lt;=156),INDEX($E$2:$E$157,A87-CEILING(Assumptions!$E$29/30,1))*Assumptions!$B$29/100,0)</f>
      </c>
      <c r="N87">
        <f>IF(AND(A87-CEILING(Assumptions!$E$30/30,1)&gt;=1,A87-CEILING(Assumptions!$E$30/30,1)&lt;=156),INDEX($E$2:$E$157,A87-CEILING(Assumptions!$E$30/30,1))*Assumptions!$B$30/100,0)</f>
      </c>
      <c r="O87">
        <f>IF(AND(A87-CEILING(Assumptions!$E$31/30,1)&gt;=1,A87-CEILING(Assumptions!$E$31/30,1)&lt;=156),INDEX($E$2:$E$157,A87-CEILING(Assumptions!$E$31/30,1))*Assumptions!$B$31/100,0)</f>
      </c>
      <c r="P87">
        <f>K87+L87+M87+N87+O87</f>
      </c>
    </row>
    <row r="88" spans="1:16" x14ac:dyDescent="0.25">
      <c r="A88">
        <v>87</v>
      </c>
      <c r="B88">
        <v>8</v>
      </c>
      <c r="C88">
        <f>Assumptions!$B$5*Assumptions!$B$32*Assumptions!$B$6*D88</f>
      </c>
      <c r="D88">
        <f>IF(A88&lt;=3,Assumptions!$B$21,IF(A88&lt;=6,Assumptions!$B$22,IF(A88&lt;=12,Assumptions!$B$23,Assumptions!$B$24)))/100</f>
      </c>
      <c r="E88">
        <f>Assumptions!$B$5*Assumptions!$B$33*Assumptions!$B$6*D88</f>
      </c>
      <c r="F88">
        <f>Assumptions!$B$5*Assumptions!$B$7*Assumptions!$B$6*D88</f>
      </c>
      <c r="G88">
        <f>Assumptions!$B$8</f>
      </c>
      <c r="H88">
        <f>IF(INDEX(Assumptions!$B$35:$B$47,B88)&lt;&gt;"",INDEX(Assumptions!$B$35:$B$47,B88)/100*Assumptions!$B$2,IF(B88&lt;=Assumptions!$B$17,0,IF(B88&lt;=Assumptions!$B$17+Assumptions!$B$18,Assumptions!$B$19,Assumptions!$B$20)))/12</f>
      </c>
      <c r="I88">
        <f>IF(Assumptions!$B$12="Cash",0,IF(A88&lt;=Assumptions!$B$15,Monthly!$S$1,0))</f>
      </c>
      <c r="J88">
        <f>E88-F88-G88-H88-I88</f>
      </c>
      <c r="K88">
        <f>IF(AND(A88-CEILING(Assumptions!$E$27/30,1)&gt;=1,A88-CEILING(Assumptions!$E$27/30,1)&lt;=156),INDEX($E$2:$E$157,A88-CEILING(Assumptions!$E$27/30,1))*Assumptions!$B$27/100,0)</f>
      </c>
      <c r="L88">
        <f>IF(AND(A88-CEILING(Assumptions!$E$28/30,1)&gt;=1,A88-CEILING(Assumptions!$E$28/30,1)&lt;=156),INDEX($E$2:$E$157,A88-CEILING(Assumptions!$E$28/30,1))*Assumptions!$B$28/100,0)</f>
      </c>
      <c r="M88">
        <f>IF(AND(A88-CEILING(Assumptions!$E$29/30,1)&gt;=1,A88-CEILING(Assumptions!$E$29/30,1)&lt;=156),INDEX($E$2:$E$157,A88-CEILING(Assumptions!$E$29/30,1))*Assumptions!$B$29/100,0)</f>
      </c>
      <c r="N88">
        <f>IF(AND(A88-CEILING(Assumptions!$E$30/30,1)&gt;=1,A88-CEILING(Assumptions!$E$30/30,1)&lt;=156),INDEX($E$2:$E$157,A88-CEILING(Assumptions!$E$30/30,1))*Assumptions!$B$30/100,0)</f>
      </c>
      <c r="O88">
        <f>IF(AND(A88-CEILING(Assumptions!$E$31/30,1)&gt;=1,A88-CEILING(Assumptions!$E$31/30,1)&lt;=156),INDEX($E$2:$E$157,A88-CEILING(Assumptions!$E$31/30,1))*Assumptions!$B$31/100,0)</f>
      </c>
      <c r="P88">
        <f>K88+L88+M88+N88+O88</f>
      </c>
    </row>
    <row r="89" spans="1:16" x14ac:dyDescent="0.25">
      <c r="A89">
        <v>88</v>
      </c>
      <c r="B89">
        <v>8</v>
      </c>
      <c r="C89">
        <f>Assumptions!$B$5*Assumptions!$B$32*Assumptions!$B$6*D89</f>
      </c>
      <c r="D89">
        <f>IF(A89&lt;=3,Assumptions!$B$21,IF(A89&lt;=6,Assumptions!$B$22,IF(A89&lt;=12,Assumptions!$B$23,Assumptions!$B$24)))/100</f>
      </c>
      <c r="E89">
        <f>Assumptions!$B$5*Assumptions!$B$33*Assumptions!$B$6*D89</f>
      </c>
      <c r="F89">
        <f>Assumptions!$B$5*Assumptions!$B$7*Assumptions!$B$6*D89</f>
      </c>
      <c r="G89">
        <f>Assumptions!$B$8</f>
      </c>
      <c r="H89">
        <f>IF(INDEX(Assumptions!$B$35:$B$47,B89)&lt;&gt;"",INDEX(Assumptions!$B$35:$B$47,B89)/100*Assumptions!$B$2,IF(B89&lt;=Assumptions!$B$17,0,IF(B89&lt;=Assumptions!$B$17+Assumptions!$B$18,Assumptions!$B$19,Assumptions!$B$20)))/12</f>
      </c>
      <c r="I89">
        <f>IF(Assumptions!$B$12="Cash",0,IF(A89&lt;=Assumptions!$B$15,Monthly!$S$1,0))</f>
      </c>
      <c r="J89">
        <f>E89-F89-G89-H89-I89</f>
      </c>
      <c r="K89">
        <f>IF(AND(A89-CEILING(Assumptions!$E$27/30,1)&gt;=1,A89-CEILING(Assumptions!$E$27/30,1)&lt;=156),INDEX($E$2:$E$157,A89-CEILING(Assumptions!$E$27/30,1))*Assumptions!$B$27/100,0)</f>
      </c>
      <c r="L89">
        <f>IF(AND(A89-CEILING(Assumptions!$E$28/30,1)&gt;=1,A89-CEILING(Assumptions!$E$28/30,1)&lt;=156),INDEX($E$2:$E$157,A89-CEILING(Assumptions!$E$28/30,1))*Assumptions!$B$28/100,0)</f>
      </c>
      <c r="M89">
        <f>IF(AND(A89-CEILING(Assumptions!$E$29/30,1)&gt;=1,A89-CEILING(Assumptions!$E$29/30,1)&lt;=156),INDEX($E$2:$E$157,A89-CEILING(Assumptions!$E$29/30,1))*Assumptions!$B$29/100,0)</f>
      </c>
      <c r="N89">
        <f>IF(AND(A89-CEILING(Assumptions!$E$30/30,1)&gt;=1,A89-CEILING(Assumptions!$E$30/30,1)&lt;=156),INDEX($E$2:$E$157,A89-CEILING(Assumptions!$E$30/30,1))*Assumptions!$B$30/100,0)</f>
      </c>
      <c r="O89">
        <f>IF(AND(A89-CEILING(Assumptions!$E$31/30,1)&gt;=1,A89-CEILING(Assumptions!$E$31/30,1)&lt;=156),INDEX($E$2:$E$157,A89-CEILING(Assumptions!$E$31/30,1))*Assumptions!$B$31/100,0)</f>
      </c>
      <c r="P89">
        <f>K89+L89+M89+N89+O89</f>
      </c>
    </row>
    <row r="90" spans="1:16" x14ac:dyDescent="0.25">
      <c r="A90">
        <v>89</v>
      </c>
      <c r="B90">
        <v>8</v>
      </c>
      <c r="C90">
        <f>Assumptions!$B$5*Assumptions!$B$32*Assumptions!$B$6*D90</f>
      </c>
      <c r="D90">
        <f>IF(A90&lt;=3,Assumptions!$B$21,IF(A90&lt;=6,Assumptions!$B$22,IF(A90&lt;=12,Assumptions!$B$23,Assumptions!$B$24)))/100</f>
      </c>
      <c r="E90">
        <f>Assumptions!$B$5*Assumptions!$B$33*Assumptions!$B$6*D90</f>
      </c>
      <c r="F90">
        <f>Assumptions!$B$5*Assumptions!$B$7*Assumptions!$B$6*D90</f>
      </c>
      <c r="G90">
        <f>Assumptions!$B$8</f>
      </c>
      <c r="H90">
        <f>IF(INDEX(Assumptions!$B$35:$B$47,B90)&lt;&gt;"",INDEX(Assumptions!$B$35:$B$47,B90)/100*Assumptions!$B$2,IF(B90&lt;=Assumptions!$B$17,0,IF(B90&lt;=Assumptions!$B$17+Assumptions!$B$18,Assumptions!$B$19,Assumptions!$B$20)))/12</f>
      </c>
      <c r="I90">
        <f>IF(Assumptions!$B$12="Cash",0,IF(A90&lt;=Assumptions!$B$15,Monthly!$S$1,0))</f>
      </c>
      <c r="J90">
        <f>E90-F90-G90-H90-I90</f>
      </c>
      <c r="K90">
        <f>IF(AND(A90-CEILING(Assumptions!$E$27/30,1)&gt;=1,A90-CEILING(Assumptions!$E$27/30,1)&lt;=156),INDEX($E$2:$E$157,A90-CEILING(Assumptions!$E$27/30,1))*Assumptions!$B$27/100,0)</f>
      </c>
      <c r="L90">
        <f>IF(AND(A90-CEILING(Assumptions!$E$28/30,1)&gt;=1,A90-CEILING(Assumptions!$E$28/30,1)&lt;=156),INDEX($E$2:$E$157,A90-CEILING(Assumptions!$E$28/30,1))*Assumptions!$B$28/100,0)</f>
      </c>
      <c r="M90">
        <f>IF(AND(A90-CEILING(Assumptions!$E$29/30,1)&gt;=1,A90-CEILING(Assumptions!$E$29/30,1)&lt;=156),INDEX($E$2:$E$157,A90-CEILING(Assumptions!$E$29/30,1))*Assumptions!$B$29/100,0)</f>
      </c>
      <c r="N90">
        <f>IF(AND(A90-CEILING(Assumptions!$E$30/30,1)&gt;=1,A90-CEILING(Assumptions!$E$30/30,1)&lt;=156),INDEX($E$2:$E$157,A90-CEILING(Assumptions!$E$30/30,1))*Assumptions!$B$30/100,0)</f>
      </c>
      <c r="O90">
        <f>IF(AND(A90-CEILING(Assumptions!$E$31/30,1)&gt;=1,A90-CEILING(Assumptions!$E$31/30,1)&lt;=156),INDEX($E$2:$E$157,A90-CEILING(Assumptions!$E$31/30,1))*Assumptions!$B$31/100,0)</f>
      </c>
      <c r="P90">
        <f>K90+L90+M90+N90+O90</f>
      </c>
    </row>
    <row r="91" spans="1:16" x14ac:dyDescent="0.25">
      <c r="A91">
        <v>90</v>
      </c>
      <c r="B91">
        <v>8</v>
      </c>
      <c r="C91">
        <f>Assumptions!$B$5*Assumptions!$B$32*Assumptions!$B$6*D91</f>
      </c>
      <c r="D91">
        <f>IF(A91&lt;=3,Assumptions!$B$21,IF(A91&lt;=6,Assumptions!$B$22,IF(A91&lt;=12,Assumptions!$B$23,Assumptions!$B$24)))/100</f>
      </c>
      <c r="E91">
        <f>Assumptions!$B$5*Assumptions!$B$33*Assumptions!$B$6*D91</f>
      </c>
      <c r="F91">
        <f>Assumptions!$B$5*Assumptions!$B$7*Assumptions!$B$6*D91</f>
      </c>
      <c r="G91">
        <f>Assumptions!$B$8</f>
      </c>
      <c r="H91">
        <f>IF(INDEX(Assumptions!$B$35:$B$47,B91)&lt;&gt;"",INDEX(Assumptions!$B$35:$B$47,B91)/100*Assumptions!$B$2,IF(B91&lt;=Assumptions!$B$17,0,IF(B91&lt;=Assumptions!$B$17+Assumptions!$B$18,Assumptions!$B$19,Assumptions!$B$20)))/12</f>
      </c>
      <c r="I91">
        <f>IF(Assumptions!$B$12="Cash",0,IF(A91&lt;=Assumptions!$B$15,Monthly!$S$1,0))</f>
      </c>
      <c r="J91">
        <f>E91-F91-G91-H91-I91</f>
      </c>
      <c r="K91">
        <f>IF(AND(A91-CEILING(Assumptions!$E$27/30,1)&gt;=1,A91-CEILING(Assumptions!$E$27/30,1)&lt;=156),INDEX($E$2:$E$157,A91-CEILING(Assumptions!$E$27/30,1))*Assumptions!$B$27/100,0)</f>
      </c>
      <c r="L91">
        <f>IF(AND(A91-CEILING(Assumptions!$E$28/30,1)&gt;=1,A91-CEILING(Assumptions!$E$28/30,1)&lt;=156),INDEX($E$2:$E$157,A91-CEILING(Assumptions!$E$28/30,1))*Assumptions!$B$28/100,0)</f>
      </c>
      <c r="M91">
        <f>IF(AND(A91-CEILING(Assumptions!$E$29/30,1)&gt;=1,A91-CEILING(Assumptions!$E$29/30,1)&lt;=156),INDEX($E$2:$E$157,A91-CEILING(Assumptions!$E$29/30,1))*Assumptions!$B$29/100,0)</f>
      </c>
      <c r="N91">
        <f>IF(AND(A91-CEILING(Assumptions!$E$30/30,1)&gt;=1,A91-CEILING(Assumptions!$E$30/30,1)&lt;=156),INDEX($E$2:$E$157,A91-CEILING(Assumptions!$E$30/30,1))*Assumptions!$B$30/100,0)</f>
      </c>
      <c r="O91">
        <f>IF(AND(A91-CEILING(Assumptions!$E$31/30,1)&gt;=1,A91-CEILING(Assumptions!$E$31/30,1)&lt;=156),INDEX($E$2:$E$157,A91-CEILING(Assumptions!$E$31/30,1))*Assumptions!$B$31/100,0)</f>
      </c>
      <c r="P91">
        <f>K91+L91+M91+N91+O91</f>
      </c>
    </row>
    <row r="92" spans="1:16" x14ac:dyDescent="0.25">
      <c r="A92">
        <v>91</v>
      </c>
      <c r="B92">
        <v>8</v>
      </c>
      <c r="C92">
        <f>Assumptions!$B$5*Assumptions!$B$32*Assumptions!$B$6*D92</f>
      </c>
      <c r="D92">
        <f>IF(A92&lt;=3,Assumptions!$B$21,IF(A92&lt;=6,Assumptions!$B$22,IF(A92&lt;=12,Assumptions!$B$23,Assumptions!$B$24)))/100</f>
      </c>
      <c r="E92">
        <f>Assumptions!$B$5*Assumptions!$B$33*Assumptions!$B$6*D92</f>
      </c>
      <c r="F92">
        <f>Assumptions!$B$5*Assumptions!$B$7*Assumptions!$B$6*D92</f>
      </c>
      <c r="G92">
        <f>Assumptions!$B$8</f>
      </c>
      <c r="H92">
        <f>IF(INDEX(Assumptions!$B$35:$B$47,B92)&lt;&gt;"",INDEX(Assumptions!$B$35:$B$47,B92)/100*Assumptions!$B$2,IF(B92&lt;=Assumptions!$B$17,0,IF(B92&lt;=Assumptions!$B$17+Assumptions!$B$18,Assumptions!$B$19,Assumptions!$B$20)))/12</f>
      </c>
      <c r="I92">
        <f>IF(Assumptions!$B$12="Cash",0,IF(A92&lt;=Assumptions!$B$15,Monthly!$S$1,0))</f>
      </c>
      <c r="J92">
        <f>E92-F92-G92-H92-I92</f>
      </c>
      <c r="K92">
        <f>IF(AND(A92-CEILING(Assumptions!$E$27/30,1)&gt;=1,A92-CEILING(Assumptions!$E$27/30,1)&lt;=156),INDEX($E$2:$E$157,A92-CEILING(Assumptions!$E$27/30,1))*Assumptions!$B$27/100,0)</f>
      </c>
      <c r="L92">
        <f>IF(AND(A92-CEILING(Assumptions!$E$28/30,1)&gt;=1,A92-CEILING(Assumptions!$E$28/30,1)&lt;=156),INDEX($E$2:$E$157,A92-CEILING(Assumptions!$E$28/30,1))*Assumptions!$B$28/100,0)</f>
      </c>
      <c r="M92">
        <f>IF(AND(A92-CEILING(Assumptions!$E$29/30,1)&gt;=1,A92-CEILING(Assumptions!$E$29/30,1)&lt;=156),INDEX($E$2:$E$157,A92-CEILING(Assumptions!$E$29/30,1))*Assumptions!$B$29/100,0)</f>
      </c>
      <c r="N92">
        <f>IF(AND(A92-CEILING(Assumptions!$E$30/30,1)&gt;=1,A92-CEILING(Assumptions!$E$30/30,1)&lt;=156),INDEX($E$2:$E$157,A92-CEILING(Assumptions!$E$30/30,1))*Assumptions!$B$30/100,0)</f>
      </c>
      <c r="O92">
        <f>IF(AND(A92-CEILING(Assumptions!$E$31/30,1)&gt;=1,A92-CEILING(Assumptions!$E$31/30,1)&lt;=156),INDEX($E$2:$E$157,A92-CEILING(Assumptions!$E$31/30,1))*Assumptions!$B$31/100,0)</f>
      </c>
      <c r="P92">
        <f>K92+L92+M92+N92+O92</f>
      </c>
    </row>
    <row r="93" spans="1:16" x14ac:dyDescent="0.25">
      <c r="A93">
        <v>92</v>
      </c>
      <c r="B93">
        <v>8</v>
      </c>
      <c r="C93">
        <f>Assumptions!$B$5*Assumptions!$B$32*Assumptions!$B$6*D93</f>
      </c>
      <c r="D93">
        <f>IF(A93&lt;=3,Assumptions!$B$21,IF(A93&lt;=6,Assumptions!$B$22,IF(A93&lt;=12,Assumptions!$B$23,Assumptions!$B$24)))/100</f>
      </c>
      <c r="E93">
        <f>Assumptions!$B$5*Assumptions!$B$33*Assumptions!$B$6*D93</f>
      </c>
      <c r="F93">
        <f>Assumptions!$B$5*Assumptions!$B$7*Assumptions!$B$6*D93</f>
      </c>
      <c r="G93">
        <f>Assumptions!$B$8</f>
      </c>
      <c r="H93">
        <f>IF(INDEX(Assumptions!$B$35:$B$47,B93)&lt;&gt;"",INDEX(Assumptions!$B$35:$B$47,B93)/100*Assumptions!$B$2,IF(B93&lt;=Assumptions!$B$17,0,IF(B93&lt;=Assumptions!$B$17+Assumptions!$B$18,Assumptions!$B$19,Assumptions!$B$20)))/12</f>
      </c>
      <c r="I93">
        <f>IF(Assumptions!$B$12="Cash",0,IF(A93&lt;=Assumptions!$B$15,Monthly!$S$1,0))</f>
      </c>
      <c r="J93">
        <f>E93-F93-G93-H93-I93</f>
      </c>
      <c r="K93">
        <f>IF(AND(A93-CEILING(Assumptions!$E$27/30,1)&gt;=1,A93-CEILING(Assumptions!$E$27/30,1)&lt;=156),INDEX($E$2:$E$157,A93-CEILING(Assumptions!$E$27/30,1))*Assumptions!$B$27/100,0)</f>
      </c>
      <c r="L93">
        <f>IF(AND(A93-CEILING(Assumptions!$E$28/30,1)&gt;=1,A93-CEILING(Assumptions!$E$28/30,1)&lt;=156),INDEX($E$2:$E$157,A93-CEILING(Assumptions!$E$28/30,1))*Assumptions!$B$28/100,0)</f>
      </c>
      <c r="M93">
        <f>IF(AND(A93-CEILING(Assumptions!$E$29/30,1)&gt;=1,A93-CEILING(Assumptions!$E$29/30,1)&lt;=156),INDEX($E$2:$E$157,A93-CEILING(Assumptions!$E$29/30,1))*Assumptions!$B$29/100,0)</f>
      </c>
      <c r="N93">
        <f>IF(AND(A93-CEILING(Assumptions!$E$30/30,1)&gt;=1,A93-CEILING(Assumptions!$E$30/30,1)&lt;=156),INDEX($E$2:$E$157,A93-CEILING(Assumptions!$E$30/30,1))*Assumptions!$B$30/100,0)</f>
      </c>
      <c r="O93">
        <f>IF(AND(A93-CEILING(Assumptions!$E$31/30,1)&gt;=1,A93-CEILING(Assumptions!$E$31/30,1)&lt;=156),INDEX($E$2:$E$157,A93-CEILING(Assumptions!$E$31/30,1))*Assumptions!$B$31/100,0)</f>
      </c>
      <c r="P93">
        <f>K93+L93+M93+N93+O93</f>
      </c>
    </row>
    <row r="94" spans="1:16" x14ac:dyDescent="0.25">
      <c r="A94">
        <v>93</v>
      </c>
      <c r="B94">
        <v>8</v>
      </c>
      <c r="C94">
        <f>Assumptions!$B$5*Assumptions!$B$32*Assumptions!$B$6*D94</f>
      </c>
      <c r="D94">
        <f>IF(A94&lt;=3,Assumptions!$B$21,IF(A94&lt;=6,Assumptions!$B$22,IF(A94&lt;=12,Assumptions!$B$23,Assumptions!$B$24)))/100</f>
      </c>
      <c r="E94">
        <f>Assumptions!$B$5*Assumptions!$B$33*Assumptions!$B$6*D94</f>
      </c>
      <c r="F94">
        <f>Assumptions!$B$5*Assumptions!$B$7*Assumptions!$B$6*D94</f>
      </c>
      <c r="G94">
        <f>Assumptions!$B$8</f>
      </c>
      <c r="H94">
        <f>IF(INDEX(Assumptions!$B$35:$B$47,B94)&lt;&gt;"",INDEX(Assumptions!$B$35:$B$47,B94)/100*Assumptions!$B$2,IF(B94&lt;=Assumptions!$B$17,0,IF(B94&lt;=Assumptions!$B$17+Assumptions!$B$18,Assumptions!$B$19,Assumptions!$B$20)))/12</f>
      </c>
      <c r="I94">
        <f>IF(Assumptions!$B$12="Cash",0,IF(A94&lt;=Assumptions!$B$15,Monthly!$S$1,0))</f>
      </c>
      <c r="J94">
        <f>E94-F94-G94-H94-I94</f>
      </c>
      <c r="K94">
        <f>IF(AND(A94-CEILING(Assumptions!$E$27/30,1)&gt;=1,A94-CEILING(Assumptions!$E$27/30,1)&lt;=156),INDEX($E$2:$E$157,A94-CEILING(Assumptions!$E$27/30,1))*Assumptions!$B$27/100,0)</f>
      </c>
      <c r="L94">
        <f>IF(AND(A94-CEILING(Assumptions!$E$28/30,1)&gt;=1,A94-CEILING(Assumptions!$E$28/30,1)&lt;=156),INDEX($E$2:$E$157,A94-CEILING(Assumptions!$E$28/30,1))*Assumptions!$B$28/100,0)</f>
      </c>
      <c r="M94">
        <f>IF(AND(A94-CEILING(Assumptions!$E$29/30,1)&gt;=1,A94-CEILING(Assumptions!$E$29/30,1)&lt;=156),INDEX($E$2:$E$157,A94-CEILING(Assumptions!$E$29/30,1))*Assumptions!$B$29/100,0)</f>
      </c>
      <c r="N94">
        <f>IF(AND(A94-CEILING(Assumptions!$E$30/30,1)&gt;=1,A94-CEILING(Assumptions!$E$30/30,1)&lt;=156),INDEX($E$2:$E$157,A94-CEILING(Assumptions!$E$30/30,1))*Assumptions!$B$30/100,0)</f>
      </c>
      <c r="O94">
        <f>IF(AND(A94-CEILING(Assumptions!$E$31/30,1)&gt;=1,A94-CEILING(Assumptions!$E$31/30,1)&lt;=156),INDEX($E$2:$E$157,A94-CEILING(Assumptions!$E$31/30,1))*Assumptions!$B$31/100,0)</f>
      </c>
      <c r="P94">
        <f>K94+L94+M94+N94+O94</f>
      </c>
    </row>
    <row r="95" spans="1:16" x14ac:dyDescent="0.25">
      <c r="A95">
        <v>94</v>
      </c>
      <c r="B95">
        <v>8</v>
      </c>
      <c r="C95">
        <f>Assumptions!$B$5*Assumptions!$B$32*Assumptions!$B$6*D95</f>
      </c>
      <c r="D95">
        <f>IF(A95&lt;=3,Assumptions!$B$21,IF(A95&lt;=6,Assumptions!$B$22,IF(A95&lt;=12,Assumptions!$B$23,Assumptions!$B$24)))/100</f>
      </c>
      <c r="E95">
        <f>Assumptions!$B$5*Assumptions!$B$33*Assumptions!$B$6*D95</f>
      </c>
      <c r="F95">
        <f>Assumptions!$B$5*Assumptions!$B$7*Assumptions!$B$6*D95</f>
      </c>
      <c r="G95">
        <f>Assumptions!$B$8</f>
      </c>
      <c r="H95">
        <f>IF(INDEX(Assumptions!$B$35:$B$47,B95)&lt;&gt;"",INDEX(Assumptions!$B$35:$B$47,B95)/100*Assumptions!$B$2,IF(B95&lt;=Assumptions!$B$17,0,IF(B95&lt;=Assumptions!$B$17+Assumptions!$B$18,Assumptions!$B$19,Assumptions!$B$20)))/12</f>
      </c>
      <c r="I95">
        <f>IF(Assumptions!$B$12="Cash",0,IF(A95&lt;=Assumptions!$B$15,Monthly!$S$1,0))</f>
      </c>
      <c r="J95">
        <f>E95-F95-G95-H95-I95</f>
      </c>
      <c r="K95">
        <f>IF(AND(A95-CEILING(Assumptions!$E$27/30,1)&gt;=1,A95-CEILING(Assumptions!$E$27/30,1)&lt;=156),INDEX($E$2:$E$157,A95-CEILING(Assumptions!$E$27/30,1))*Assumptions!$B$27/100,0)</f>
      </c>
      <c r="L95">
        <f>IF(AND(A95-CEILING(Assumptions!$E$28/30,1)&gt;=1,A95-CEILING(Assumptions!$E$28/30,1)&lt;=156),INDEX($E$2:$E$157,A95-CEILING(Assumptions!$E$28/30,1))*Assumptions!$B$28/100,0)</f>
      </c>
      <c r="M95">
        <f>IF(AND(A95-CEILING(Assumptions!$E$29/30,1)&gt;=1,A95-CEILING(Assumptions!$E$29/30,1)&lt;=156),INDEX($E$2:$E$157,A95-CEILING(Assumptions!$E$29/30,1))*Assumptions!$B$29/100,0)</f>
      </c>
      <c r="N95">
        <f>IF(AND(A95-CEILING(Assumptions!$E$30/30,1)&gt;=1,A95-CEILING(Assumptions!$E$30/30,1)&lt;=156),INDEX($E$2:$E$157,A95-CEILING(Assumptions!$E$30/30,1))*Assumptions!$B$30/100,0)</f>
      </c>
      <c r="O95">
        <f>IF(AND(A95-CEILING(Assumptions!$E$31/30,1)&gt;=1,A95-CEILING(Assumptions!$E$31/30,1)&lt;=156),INDEX($E$2:$E$157,A95-CEILING(Assumptions!$E$31/30,1))*Assumptions!$B$31/100,0)</f>
      </c>
      <c r="P95">
        <f>K95+L95+M95+N95+O95</f>
      </c>
    </row>
    <row r="96" spans="1:16" x14ac:dyDescent="0.25">
      <c r="A96">
        <v>95</v>
      </c>
      <c r="B96">
        <v>8</v>
      </c>
      <c r="C96">
        <f>Assumptions!$B$5*Assumptions!$B$32*Assumptions!$B$6*D96</f>
      </c>
      <c r="D96">
        <f>IF(A96&lt;=3,Assumptions!$B$21,IF(A96&lt;=6,Assumptions!$B$22,IF(A96&lt;=12,Assumptions!$B$23,Assumptions!$B$24)))/100</f>
      </c>
      <c r="E96">
        <f>Assumptions!$B$5*Assumptions!$B$33*Assumptions!$B$6*D96</f>
      </c>
      <c r="F96">
        <f>Assumptions!$B$5*Assumptions!$B$7*Assumptions!$B$6*D96</f>
      </c>
      <c r="G96">
        <f>Assumptions!$B$8</f>
      </c>
      <c r="H96">
        <f>IF(INDEX(Assumptions!$B$35:$B$47,B96)&lt;&gt;"",INDEX(Assumptions!$B$35:$B$47,B96)/100*Assumptions!$B$2,IF(B96&lt;=Assumptions!$B$17,0,IF(B96&lt;=Assumptions!$B$17+Assumptions!$B$18,Assumptions!$B$19,Assumptions!$B$20)))/12</f>
      </c>
      <c r="I96">
        <f>IF(Assumptions!$B$12="Cash",0,IF(A96&lt;=Assumptions!$B$15,Monthly!$S$1,0))</f>
      </c>
      <c r="J96">
        <f>E96-F96-G96-H96-I96</f>
      </c>
      <c r="K96">
        <f>IF(AND(A96-CEILING(Assumptions!$E$27/30,1)&gt;=1,A96-CEILING(Assumptions!$E$27/30,1)&lt;=156),INDEX($E$2:$E$157,A96-CEILING(Assumptions!$E$27/30,1))*Assumptions!$B$27/100,0)</f>
      </c>
      <c r="L96">
        <f>IF(AND(A96-CEILING(Assumptions!$E$28/30,1)&gt;=1,A96-CEILING(Assumptions!$E$28/30,1)&lt;=156),INDEX($E$2:$E$157,A96-CEILING(Assumptions!$E$28/30,1))*Assumptions!$B$28/100,0)</f>
      </c>
      <c r="M96">
        <f>IF(AND(A96-CEILING(Assumptions!$E$29/30,1)&gt;=1,A96-CEILING(Assumptions!$E$29/30,1)&lt;=156),INDEX($E$2:$E$157,A96-CEILING(Assumptions!$E$29/30,1))*Assumptions!$B$29/100,0)</f>
      </c>
      <c r="N96">
        <f>IF(AND(A96-CEILING(Assumptions!$E$30/30,1)&gt;=1,A96-CEILING(Assumptions!$E$30/30,1)&lt;=156),INDEX($E$2:$E$157,A96-CEILING(Assumptions!$E$30/30,1))*Assumptions!$B$30/100,0)</f>
      </c>
      <c r="O96">
        <f>IF(AND(A96-CEILING(Assumptions!$E$31/30,1)&gt;=1,A96-CEILING(Assumptions!$E$31/30,1)&lt;=156),INDEX($E$2:$E$157,A96-CEILING(Assumptions!$E$31/30,1))*Assumptions!$B$31/100,0)</f>
      </c>
      <c r="P96">
        <f>K96+L96+M96+N96+O96</f>
      </c>
    </row>
    <row r="97" spans="1:16" x14ac:dyDescent="0.25">
      <c r="A97">
        <v>96</v>
      </c>
      <c r="B97">
        <v>8</v>
      </c>
      <c r="C97">
        <f>Assumptions!$B$5*Assumptions!$B$32*Assumptions!$B$6*D97</f>
      </c>
      <c r="D97">
        <f>IF(A97&lt;=3,Assumptions!$B$21,IF(A97&lt;=6,Assumptions!$B$22,IF(A97&lt;=12,Assumptions!$B$23,Assumptions!$B$24)))/100</f>
      </c>
      <c r="E97">
        <f>Assumptions!$B$5*Assumptions!$B$33*Assumptions!$B$6*D97</f>
      </c>
      <c r="F97">
        <f>Assumptions!$B$5*Assumptions!$B$7*Assumptions!$B$6*D97</f>
      </c>
      <c r="G97">
        <f>Assumptions!$B$8</f>
      </c>
      <c r="H97">
        <f>IF(INDEX(Assumptions!$B$35:$B$47,B97)&lt;&gt;"",INDEX(Assumptions!$B$35:$B$47,B97)/100*Assumptions!$B$2,IF(B97&lt;=Assumptions!$B$17,0,IF(B97&lt;=Assumptions!$B$17+Assumptions!$B$18,Assumptions!$B$19,Assumptions!$B$20)))/12</f>
      </c>
      <c r="I97">
        <f>IF(Assumptions!$B$12="Cash",0,IF(A97&lt;=Assumptions!$B$15,Monthly!$S$1,0))</f>
      </c>
      <c r="J97">
        <f>E97-F97-G97-H97-I97</f>
      </c>
      <c r="K97">
        <f>IF(AND(A97-CEILING(Assumptions!$E$27/30,1)&gt;=1,A97-CEILING(Assumptions!$E$27/30,1)&lt;=156),INDEX($E$2:$E$157,A97-CEILING(Assumptions!$E$27/30,1))*Assumptions!$B$27/100,0)</f>
      </c>
      <c r="L97">
        <f>IF(AND(A97-CEILING(Assumptions!$E$28/30,1)&gt;=1,A97-CEILING(Assumptions!$E$28/30,1)&lt;=156),INDEX($E$2:$E$157,A97-CEILING(Assumptions!$E$28/30,1))*Assumptions!$B$28/100,0)</f>
      </c>
      <c r="M97">
        <f>IF(AND(A97-CEILING(Assumptions!$E$29/30,1)&gt;=1,A97-CEILING(Assumptions!$E$29/30,1)&lt;=156),INDEX($E$2:$E$157,A97-CEILING(Assumptions!$E$29/30,1))*Assumptions!$B$29/100,0)</f>
      </c>
      <c r="N97">
        <f>IF(AND(A97-CEILING(Assumptions!$E$30/30,1)&gt;=1,A97-CEILING(Assumptions!$E$30/30,1)&lt;=156),INDEX($E$2:$E$157,A97-CEILING(Assumptions!$E$30/30,1))*Assumptions!$B$30/100,0)</f>
      </c>
      <c r="O97">
        <f>IF(AND(A97-CEILING(Assumptions!$E$31/30,1)&gt;=1,A97-CEILING(Assumptions!$E$31/30,1)&lt;=156),INDEX($E$2:$E$157,A97-CEILING(Assumptions!$E$31/30,1))*Assumptions!$B$31/100,0)</f>
      </c>
      <c r="P97">
        <f>K97+L97+M97+N97+O97</f>
      </c>
    </row>
    <row r="98" spans="1:16" x14ac:dyDescent="0.25">
      <c r="A98">
        <v>97</v>
      </c>
      <c r="B98">
        <v>9</v>
      </c>
      <c r="C98">
        <f>Assumptions!$B$5*Assumptions!$B$32*Assumptions!$B$6*D98</f>
      </c>
      <c r="D98">
        <f>IF(A98&lt;=3,Assumptions!$B$21,IF(A98&lt;=6,Assumptions!$B$22,IF(A98&lt;=12,Assumptions!$B$23,Assumptions!$B$24)))/100</f>
      </c>
      <c r="E98">
        <f>Assumptions!$B$5*Assumptions!$B$33*Assumptions!$B$6*D98</f>
      </c>
      <c r="F98">
        <f>Assumptions!$B$5*Assumptions!$B$7*Assumptions!$B$6*D98</f>
      </c>
      <c r="G98">
        <f>Assumptions!$B$8</f>
      </c>
      <c r="H98">
        <f>IF(INDEX(Assumptions!$B$35:$B$47,B98)&lt;&gt;"",INDEX(Assumptions!$B$35:$B$47,B98)/100*Assumptions!$B$2,IF(B98&lt;=Assumptions!$B$17,0,IF(B98&lt;=Assumptions!$B$17+Assumptions!$B$18,Assumptions!$B$19,Assumptions!$B$20)))/12</f>
      </c>
      <c r="I98">
        <f>IF(Assumptions!$B$12="Cash",0,IF(A98&lt;=Assumptions!$B$15,Monthly!$S$1,0))</f>
      </c>
      <c r="J98">
        <f>E98-F98-G98-H98-I98</f>
      </c>
      <c r="K98">
        <f>IF(AND(A98-CEILING(Assumptions!$E$27/30,1)&gt;=1,A98-CEILING(Assumptions!$E$27/30,1)&lt;=156),INDEX($E$2:$E$157,A98-CEILING(Assumptions!$E$27/30,1))*Assumptions!$B$27/100,0)</f>
      </c>
      <c r="L98">
        <f>IF(AND(A98-CEILING(Assumptions!$E$28/30,1)&gt;=1,A98-CEILING(Assumptions!$E$28/30,1)&lt;=156),INDEX($E$2:$E$157,A98-CEILING(Assumptions!$E$28/30,1))*Assumptions!$B$28/100,0)</f>
      </c>
      <c r="M98">
        <f>IF(AND(A98-CEILING(Assumptions!$E$29/30,1)&gt;=1,A98-CEILING(Assumptions!$E$29/30,1)&lt;=156),INDEX($E$2:$E$157,A98-CEILING(Assumptions!$E$29/30,1))*Assumptions!$B$29/100,0)</f>
      </c>
      <c r="N98">
        <f>IF(AND(A98-CEILING(Assumptions!$E$30/30,1)&gt;=1,A98-CEILING(Assumptions!$E$30/30,1)&lt;=156),INDEX($E$2:$E$157,A98-CEILING(Assumptions!$E$30/30,1))*Assumptions!$B$30/100,0)</f>
      </c>
      <c r="O98">
        <f>IF(AND(A98-CEILING(Assumptions!$E$31/30,1)&gt;=1,A98-CEILING(Assumptions!$E$31/30,1)&lt;=156),INDEX($E$2:$E$157,A98-CEILING(Assumptions!$E$31/30,1))*Assumptions!$B$31/100,0)</f>
      </c>
      <c r="P98">
        <f>K98+L98+M98+N98+O98</f>
      </c>
    </row>
    <row r="99" spans="1:16" x14ac:dyDescent="0.25">
      <c r="A99">
        <v>98</v>
      </c>
      <c r="B99">
        <v>9</v>
      </c>
      <c r="C99">
        <f>Assumptions!$B$5*Assumptions!$B$32*Assumptions!$B$6*D99</f>
      </c>
      <c r="D99">
        <f>IF(A99&lt;=3,Assumptions!$B$21,IF(A99&lt;=6,Assumptions!$B$22,IF(A99&lt;=12,Assumptions!$B$23,Assumptions!$B$24)))/100</f>
      </c>
      <c r="E99">
        <f>Assumptions!$B$5*Assumptions!$B$33*Assumptions!$B$6*D99</f>
      </c>
      <c r="F99">
        <f>Assumptions!$B$5*Assumptions!$B$7*Assumptions!$B$6*D99</f>
      </c>
      <c r="G99">
        <f>Assumptions!$B$8</f>
      </c>
      <c r="H99">
        <f>IF(INDEX(Assumptions!$B$35:$B$47,B99)&lt;&gt;"",INDEX(Assumptions!$B$35:$B$47,B99)/100*Assumptions!$B$2,IF(B99&lt;=Assumptions!$B$17,0,IF(B99&lt;=Assumptions!$B$17+Assumptions!$B$18,Assumptions!$B$19,Assumptions!$B$20)))/12</f>
      </c>
      <c r="I99">
        <f>IF(Assumptions!$B$12="Cash",0,IF(A99&lt;=Assumptions!$B$15,Monthly!$S$1,0))</f>
      </c>
      <c r="J99">
        <f>E99-F99-G99-H99-I99</f>
      </c>
      <c r="K99">
        <f>IF(AND(A99-CEILING(Assumptions!$E$27/30,1)&gt;=1,A99-CEILING(Assumptions!$E$27/30,1)&lt;=156),INDEX($E$2:$E$157,A99-CEILING(Assumptions!$E$27/30,1))*Assumptions!$B$27/100,0)</f>
      </c>
      <c r="L99">
        <f>IF(AND(A99-CEILING(Assumptions!$E$28/30,1)&gt;=1,A99-CEILING(Assumptions!$E$28/30,1)&lt;=156),INDEX($E$2:$E$157,A99-CEILING(Assumptions!$E$28/30,1))*Assumptions!$B$28/100,0)</f>
      </c>
      <c r="M99">
        <f>IF(AND(A99-CEILING(Assumptions!$E$29/30,1)&gt;=1,A99-CEILING(Assumptions!$E$29/30,1)&lt;=156),INDEX($E$2:$E$157,A99-CEILING(Assumptions!$E$29/30,1))*Assumptions!$B$29/100,0)</f>
      </c>
      <c r="N99">
        <f>IF(AND(A99-CEILING(Assumptions!$E$30/30,1)&gt;=1,A99-CEILING(Assumptions!$E$30/30,1)&lt;=156),INDEX($E$2:$E$157,A99-CEILING(Assumptions!$E$30/30,1))*Assumptions!$B$30/100,0)</f>
      </c>
      <c r="O99">
        <f>IF(AND(A99-CEILING(Assumptions!$E$31/30,1)&gt;=1,A99-CEILING(Assumptions!$E$31/30,1)&lt;=156),INDEX($E$2:$E$157,A99-CEILING(Assumptions!$E$31/30,1))*Assumptions!$B$31/100,0)</f>
      </c>
      <c r="P99">
        <f>K99+L99+M99+N99+O99</f>
      </c>
    </row>
    <row r="100" spans="1:16" x14ac:dyDescent="0.25">
      <c r="A100">
        <v>99</v>
      </c>
      <c r="B100">
        <v>9</v>
      </c>
      <c r="C100">
        <f>Assumptions!$B$5*Assumptions!$B$32*Assumptions!$B$6*D100</f>
      </c>
      <c r="D100">
        <f>IF(A100&lt;=3,Assumptions!$B$21,IF(A100&lt;=6,Assumptions!$B$22,IF(A100&lt;=12,Assumptions!$B$23,Assumptions!$B$24)))/100</f>
      </c>
      <c r="E100">
        <f>Assumptions!$B$5*Assumptions!$B$33*Assumptions!$B$6*D100</f>
      </c>
      <c r="F100">
        <f>Assumptions!$B$5*Assumptions!$B$7*Assumptions!$B$6*D100</f>
      </c>
      <c r="G100">
        <f>Assumptions!$B$8</f>
      </c>
      <c r="H100">
        <f>IF(INDEX(Assumptions!$B$35:$B$47,B100)&lt;&gt;"",INDEX(Assumptions!$B$35:$B$47,B100)/100*Assumptions!$B$2,IF(B100&lt;=Assumptions!$B$17,0,IF(B100&lt;=Assumptions!$B$17+Assumptions!$B$18,Assumptions!$B$19,Assumptions!$B$20)))/12</f>
      </c>
      <c r="I100">
        <f>IF(Assumptions!$B$12="Cash",0,IF(A100&lt;=Assumptions!$B$15,Monthly!$S$1,0))</f>
      </c>
      <c r="J100">
        <f>E100-F100-G100-H100-I100</f>
      </c>
      <c r="K100">
        <f>IF(AND(A100-CEILING(Assumptions!$E$27/30,1)&gt;=1,A100-CEILING(Assumptions!$E$27/30,1)&lt;=156),INDEX($E$2:$E$157,A100-CEILING(Assumptions!$E$27/30,1))*Assumptions!$B$27/100,0)</f>
      </c>
      <c r="L100">
        <f>IF(AND(A100-CEILING(Assumptions!$E$28/30,1)&gt;=1,A100-CEILING(Assumptions!$E$28/30,1)&lt;=156),INDEX($E$2:$E$157,A100-CEILING(Assumptions!$E$28/30,1))*Assumptions!$B$28/100,0)</f>
      </c>
      <c r="M100">
        <f>IF(AND(A100-CEILING(Assumptions!$E$29/30,1)&gt;=1,A100-CEILING(Assumptions!$E$29/30,1)&lt;=156),INDEX($E$2:$E$157,A100-CEILING(Assumptions!$E$29/30,1))*Assumptions!$B$29/100,0)</f>
      </c>
      <c r="N100">
        <f>IF(AND(A100-CEILING(Assumptions!$E$30/30,1)&gt;=1,A100-CEILING(Assumptions!$E$30/30,1)&lt;=156),INDEX($E$2:$E$157,A100-CEILING(Assumptions!$E$30/30,1))*Assumptions!$B$30/100,0)</f>
      </c>
      <c r="O100">
        <f>IF(AND(A100-CEILING(Assumptions!$E$31/30,1)&gt;=1,A100-CEILING(Assumptions!$E$31/30,1)&lt;=156),INDEX($E$2:$E$157,A100-CEILING(Assumptions!$E$31/30,1))*Assumptions!$B$31/100,0)</f>
      </c>
      <c r="P100">
        <f>K100+L100+M100+N100+O100</f>
      </c>
    </row>
    <row r="101" spans="1:16" x14ac:dyDescent="0.25">
      <c r="A101">
        <v>100</v>
      </c>
      <c r="B101">
        <v>9</v>
      </c>
      <c r="C101">
        <f>Assumptions!$B$5*Assumptions!$B$32*Assumptions!$B$6*D101</f>
      </c>
      <c r="D101">
        <f>IF(A101&lt;=3,Assumptions!$B$21,IF(A101&lt;=6,Assumptions!$B$22,IF(A101&lt;=12,Assumptions!$B$23,Assumptions!$B$24)))/100</f>
      </c>
      <c r="E101">
        <f>Assumptions!$B$5*Assumptions!$B$33*Assumptions!$B$6*D101</f>
      </c>
      <c r="F101">
        <f>Assumptions!$B$5*Assumptions!$B$7*Assumptions!$B$6*D101</f>
      </c>
      <c r="G101">
        <f>Assumptions!$B$8</f>
      </c>
      <c r="H101">
        <f>IF(INDEX(Assumptions!$B$35:$B$47,B101)&lt;&gt;"",INDEX(Assumptions!$B$35:$B$47,B101)/100*Assumptions!$B$2,IF(B101&lt;=Assumptions!$B$17,0,IF(B101&lt;=Assumptions!$B$17+Assumptions!$B$18,Assumptions!$B$19,Assumptions!$B$20)))/12</f>
      </c>
      <c r="I101">
        <f>IF(Assumptions!$B$12="Cash",0,IF(A101&lt;=Assumptions!$B$15,Monthly!$S$1,0))</f>
      </c>
      <c r="J101">
        <f>E101-F101-G101-H101-I101</f>
      </c>
      <c r="K101">
        <f>IF(AND(A101-CEILING(Assumptions!$E$27/30,1)&gt;=1,A101-CEILING(Assumptions!$E$27/30,1)&lt;=156),INDEX($E$2:$E$157,A101-CEILING(Assumptions!$E$27/30,1))*Assumptions!$B$27/100,0)</f>
      </c>
      <c r="L101">
        <f>IF(AND(A101-CEILING(Assumptions!$E$28/30,1)&gt;=1,A101-CEILING(Assumptions!$E$28/30,1)&lt;=156),INDEX($E$2:$E$157,A101-CEILING(Assumptions!$E$28/30,1))*Assumptions!$B$28/100,0)</f>
      </c>
      <c r="M101">
        <f>IF(AND(A101-CEILING(Assumptions!$E$29/30,1)&gt;=1,A101-CEILING(Assumptions!$E$29/30,1)&lt;=156),INDEX($E$2:$E$157,A101-CEILING(Assumptions!$E$29/30,1))*Assumptions!$B$29/100,0)</f>
      </c>
      <c r="N101">
        <f>IF(AND(A101-CEILING(Assumptions!$E$30/30,1)&gt;=1,A101-CEILING(Assumptions!$E$30/30,1)&lt;=156),INDEX($E$2:$E$157,A101-CEILING(Assumptions!$E$30/30,1))*Assumptions!$B$30/100,0)</f>
      </c>
      <c r="O101">
        <f>IF(AND(A101-CEILING(Assumptions!$E$31/30,1)&gt;=1,A101-CEILING(Assumptions!$E$31/30,1)&lt;=156),INDEX($E$2:$E$157,A101-CEILING(Assumptions!$E$31/30,1))*Assumptions!$B$31/100,0)</f>
      </c>
      <c r="P101">
        <f>K101+L101+M101+N101+O101</f>
      </c>
    </row>
    <row r="102" spans="1:16" x14ac:dyDescent="0.25">
      <c r="A102">
        <v>101</v>
      </c>
      <c r="B102">
        <v>9</v>
      </c>
      <c r="C102">
        <f>Assumptions!$B$5*Assumptions!$B$32*Assumptions!$B$6*D102</f>
      </c>
      <c r="D102">
        <f>IF(A102&lt;=3,Assumptions!$B$21,IF(A102&lt;=6,Assumptions!$B$22,IF(A102&lt;=12,Assumptions!$B$23,Assumptions!$B$24)))/100</f>
      </c>
      <c r="E102">
        <f>Assumptions!$B$5*Assumptions!$B$33*Assumptions!$B$6*D102</f>
      </c>
      <c r="F102">
        <f>Assumptions!$B$5*Assumptions!$B$7*Assumptions!$B$6*D102</f>
      </c>
      <c r="G102">
        <f>Assumptions!$B$8</f>
      </c>
      <c r="H102">
        <f>IF(INDEX(Assumptions!$B$35:$B$47,B102)&lt;&gt;"",INDEX(Assumptions!$B$35:$B$47,B102)/100*Assumptions!$B$2,IF(B102&lt;=Assumptions!$B$17,0,IF(B102&lt;=Assumptions!$B$17+Assumptions!$B$18,Assumptions!$B$19,Assumptions!$B$20)))/12</f>
      </c>
      <c r="I102">
        <f>IF(Assumptions!$B$12="Cash",0,IF(A102&lt;=Assumptions!$B$15,Monthly!$S$1,0))</f>
      </c>
      <c r="J102">
        <f>E102-F102-G102-H102-I102</f>
      </c>
      <c r="K102">
        <f>IF(AND(A102-CEILING(Assumptions!$E$27/30,1)&gt;=1,A102-CEILING(Assumptions!$E$27/30,1)&lt;=156),INDEX($E$2:$E$157,A102-CEILING(Assumptions!$E$27/30,1))*Assumptions!$B$27/100,0)</f>
      </c>
      <c r="L102">
        <f>IF(AND(A102-CEILING(Assumptions!$E$28/30,1)&gt;=1,A102-CEILING(Assumptions!$E$28/30,1)&lt;=156),INDEX($E$2:$E$157,A102-CEILING(Assumptions!$E$28/30,1))*Assumptions!$B$28/100,0)</f>
      </c>
      <c r="M102">
        <f>IF(AND(A102-CEILING(Assumptions!$E$29/30,1)&gt;=1,A102-CEILING(Assumptions!$E$29/30,1)&lt;=156),INDEX($E$2:$E$157,A102-CEILING(Assumptions!$E$29/30,1))*Assumptions!$B$29/100,0)</f>
      </c>
      <c r="N102">
        <f>IF(AND(A102-CEILING(Assumptions!$E$30/30,1)&gt;=1,A102-CEILING(Assumptions!$E$30/30,1)&lt;=156),INDEX($E$2:$E$157,A102-CEILING(Assumptions!$E$30/30,1))*Assumptions!$B$30/100,0)</f>
      </c>
      <c r="O102">
        <f>IF(AND(A102-CEILING(Assumptions!$E$31/30,1)&gt;=1,A102-CEILING(Assumptions!$E$31/30,1)&lt;=156),INDEX($E$2:$E$157,A102-CEILING(Assumptions!$E$31/30,1))*Assumptions!$B$31/100,0)</f>
      </c>
      <c r="P102">
        <f>K102+L102+M102+N102+O102</f>
      </c>
    </row>
    <row r="103" spans="1:16" x14ac:dyDescent="0.25">
      <c r="A103">
        <v>102</v>
      </c>
      <c r="B103">
        <v>9</v>
      </c>
      <c r="C103">
        <f>Assumptions!$B$5*Assumptions!$B$32*Assumptions!$B$6*D103</f>
      </c>
      <c r="D103">
        <f>IF(A103&lt;=3,Assumptions!$B$21,IF(A103&lt;=6,Assumptions!$B$22,IF(A103&lt;=12,Assumptions!$B$23,Assumptions!$B$24)))/100</f>
      </c>
      <c r="E103">
        <f>Assumptions!$B$5*Assumptions!$B$33*Assumptions!$B$6*D103</f>
      </c>
      <c r="F103">
        <f>Assumptions!$B$5*Assumptions!$B$7*Assumptions!$B$6*D103</f>
      </c>
      <c r="G103">
        <f>Assumptions!$B$8</f>
      </c>
      <c r="H103">
        <f>IF(INDEX(Assumptions!$B$35:$B$47,B103)&lt;&gt;"",INDEX(Assumptions!$B$35:$B$47,B103)/100*Assumptions!$B$2,IF(B103&lt;=Assumptions!$B$17,0,IF(B103&lt;=Assumptions!$B$17+Assumptions!$B$18,Assumptions!$B$19,Assumptions!$B$20)))/12</f>
      </c>
      <c r="I103">
        <f>IF(Assumptions!$B$12="Cash",0,IF(A103&lt;=Assumptions!$B$15,Monthly!$S$1,0))</f>
      </c>
      <c r="J103">
        <f>E103-F103-G103-H103-I103</f>
      </c>
      <c r="K103">
        <f>IF(AND(A103-CEILING(Assumptions!$E$27/30,1)&gt;=1,A103-CEILING(Assumptions!$E$27/30,1)&lt;=156),INDEX($E$2:$E$157,A103-CEILING(Assumptions!$E$27/30,1))*Assumptions!$B$27/100,0)</f>
      </c>
      <c r="L103">
        <f>IF(AND(A103-CEILING(Assumptions!$E$28/30,1)&gt;=1,A103-CEILING(Assumptions!$E$28/30,1)&lt;=156),INDEX($E$2:$E$157,A103-CEILING(Assumptions!$E$28/30,1))*Assumptions!$B$28/100,0)</f>
      </c>
      <c r="M103">
        <f>IF(AND(A103-CEILING(Assumptions!$E$29/30,1)&gt;=1,A103-CEILING(Assumptions!$E$29/30,1)&lt;=156),INDEX($E$2:$E$157,A103-CEILING(Assumptions!$E$29/30,1))*Assumptions!$B$29/100,0)</f>
      </c>
      <c r="N103">
        <f>IF(AND(A103-CEILING(Assumptions!$E$30/30,1)&gt;=1,A103-CEILING(Assumptions!$E$30/30,1)&lt;=156),INDEX($E$2:$E$157,A103-CEILING(Assumptions!$E$30/30,1))*Assumptions!$B$30/100,0)</f>
      </c>
      <c r="O103">
        <f>IF(AND(A103-CEILING(Assumptions!$E$31/30,1)&gt;=1,A103-CEILING(Assumptions!$E$31/30,1)&lt;=156),INDEX($E$2:$E$157,A103-CEILING(Assumptions!$E$31/30,1))*Assumptions!$B$31/100,0)</f>
      </c>
      <c r="P103">
        <f>K103+L103+M103+N103+O103</f>
      </c>
    </row>
    <row r="104" spans="1:16" x14ac:dyDescent="0.25">
      <c r="A104">
        <v>103</v>
      </c>
      <c r="B104">
        <v>9</v>
      </c>
      <c r="C104">
        <f>Assumptions!$B$5*Assumptions!$B$32*Assumptions!$B$6*D104</f>
      </c>
      <c r="D104">
        <f>IF(A104&lt;=3,Assumptions!$B$21,IF(A104&lt;=6,Assumptions!$B$22,IF(A104&lt;=12,Assumptions!$B$23,Assumptions!$B$24)))/100</f>
      </c>
      <c r="E104">
        <f>Assumptions!$B$5*Assumptions!$B$33*Assumptions!$B$6*D104</f>
      </c>
      <c r="F104">
        <f>Assumptions!$B$5*Assumptions!$B$7*Assumptions!$B$6*D104</f>
      </c>
      <c r="G104">
        <f>Assumptions!$B$8</f>
      </c>
      <c r="H104">
        <f>IF(INDEX(Assumptions!$B$35:$B$47,B104)&lt;&gt;"",INDEX(Assumptions!$B$35:$B$47,B104)/100*Assumptions!$B$2,IF(B104&lt;=Assumptions!$B$17,0,IF(B104&lt;=Assumptions!$B$17+Assumptions!$B$18,Assumptions!$B$19,Assumptions!$B$20)))/12</f>
      </c>
      <c r="I104">
        <f>IF(Assumptions!$B$12="Cash",0,IF(A104&lt;=Assumptions!$B$15,Monthly!$S$1,0))</f>
      </c>
      <c r="J104">
        <f>E104-F104-G104-H104-I104</f>
      </c>
      <c r="K104">
        <f>IF(AND(A104-CEILING(Assumptions!$E$27/30,1)&gt;=1,A104-CEILING(Assumptions!$E$27/30,1)&lt;=156),INDEX($E$2:$E$157,A104-CEILING(Assumptions!$E$27/30,1))*Assumptions!$B$27/100,0)</f>
      </c>
      <c r="L104">
        <f>IF(AND(A104-CEILING(Assumptions!$E$28/30,1)&gt;=1,A104-CEILING(Assumptions!$E$28/30,1)&lt;=156),INDEX($E$2:$E$157,A104-CEILING(Assumptions!$E$28/30,1))*Assumptions!$B$28/100,0)</f>
      </c>
      <c r="M104">
        <f>IF(AND(A104-CEILING(Assumptions!$E$29/30,1)&gt;=1,A104-CEILING(Assumptions!$E$29/30,1)&lt;=156),INDEX($E$2:$E$157,A104-CEILING(Assumptions!$E$29/30,1))*Assumptions!$B$29/100,0)</f>
      </c>
      <c r="N104">
        <f>IF(AND(A104-CEILING(Assumptions!$E$30/30,1)&gt;=1,A104-CEILING(Assumptions!$E$30/30,1)&lt;=156),INDEX($E$2:$E$157,A104-CEILING(Assumptions!$E$30/30,1))*Assumptions!$B$30/100,0)</f>
      </c>
      <c r="O104">
        <f>IF(AND(A104-CEILING(Assumptions!$E$31/30,1)&gt;=1,A104-CEILING(Assumptions!$E$31/30,1)&lt;=156),INDEX($E$2:$E$157,A104-CEILING(Assumptions!$E$31/30,1))*Assumptions!$B$31/100,0)</f>
      </c>
      <c r="P104">
        <f>K104+L104+M104+N104+O104</f>
      </c>
    </row>
    <row r="105" spans="1:16" x14ac:dyDescent="0.25">
      <c r="A105">
        <v>104</v>
      </c>
      <c r="B105">
        <v>9</v>
      </c>
      <c r="C105">
        <f>Assumptions!$B$5*Assumptions!$B$32*Assumptions!$B$6*D105</f>
      </c>
      <c r="D105">
        <f>IF(A105&lt;=3,Assumptions!$B$21,IF(A105&lt;=6,Assumptions!$B$22,IF(A105&lt;=12,Assumptions!$B$23,Assumptions!$B$24)))/100</f>
      </c>
      <c r="E105">
        <f>Assumptions!$B$5*Assumptions!$B$33*Assumptions!$B$6*D105</f>
      </c>
      <c r="F105">
        <f>Assumptions!$B$5*Assumptions!$B$7*Assumptions!$B$6*D105</f>
      </c>
      <c r="G105">
        <f>Assumptions!$B$8</f>
      </c>
      <c r="H105">
        <f>IF(INDEX(Assumptions!$B$35:$B$47,B105)&lt;&gt;"",INDEX(Assumptions!$B$35:$B$47,B105)/100*Assumptions!$B$2,IF(B105&lt;=Assumptions!$B$17,0,IF(B105&lt;=Assumptions!$B$17+Assumptions!$B$18,Assumptions!$B$19,Assumptions!$B$20)))/12</f>
      </c>
      <c r="I105">
        <f>IF(Assumptions!$B$12="Cash",0,IF(A105&lt;=Assumptions!$B$15,Monthly!$S$1,0))</f>
      </c>
      <c r="J105">
        <f>E105-F105-G105-H105-I105</f>
      </c>
      <c r="K105">
        <f>IF(AND(A105-CEILING(Assumptions!$E$27/30,1)&gt;=1,A105-CEILING(Assumptions!$E$27/30,1)&lt;=156),INDEX($E$2:$E$157,A105-CEILING(Assumptions!$E$27/30,1))*Assumptions!$B$27/100,0)</f>
      </c>
      <c r="L105">
        <f>IF(AND(A105-CEILING(Assumptions!$E$28/30,1)&gt;=1,A105-CEILING(Assumptions!$E$28/30,1)&lt;=156),INDEX($E$2:$E$157,A105-CEILING(Assumptions!$E$28/30,1))*Assumptions!$B$28/100,0)</f>
      </c>
      <c r="M105">
        <f>IF(AND(A105-CEILING(Assumptions!$E$29/30,1)&gt;=1,A105-CEILING(Assumptions!$E$29/30,1)&lt;=156),INDEX($E$2:$E$157,A105-CEILING(Assumptions!$E$29/30,1))*Assumptions!$B$29/100,0)</f>
      </c>
      <c r="N105">
        <f>IF(AND(A105-CEILING(Assumptions!$E$30/30,1)&gt;=1,A105-CEILING(Assumptions!$E$30/30,1)&lt;=156),INDEX($E$2:$E$157,A105-CEILING(Assumptions!$E$30/30,1))*Assumptions!$B$30/100,0)</f>
      </c>
      <c r="O105">
        <f>IF(AND(A105-CEILING(Assumptions!$E$31/30,1)&gt;=1,A105-CEILING(Assumptions!$E$31/30,1)&lt;=156),INDEX($E$2:$E$157,A105-CEILING(Assumptions!$E$31/30,1))*Assumptions!$B$31/100,0)</f>
      </c>
      <c r="P105">
        <f>K105+L105+M105+N105+O105</f>
      </c>
    </row>
    <row r="106" spans="1:16" x14ac:dyDescent="0.25">
      <c r="A106">
        <v>105</v>
      </c>
      <c r="B106">
        <v>9</v>
      </c>
      <c r="C106">
        <f>Assumptions!$B$5*Assumptions!$B$32*Assumptions!$B$6*D106</f>
      </c>
      <c r="D106">
        <f>IF(A106&lt;=3,Assumptions!$B$21,IF(A106&lt;=6,Assumptions!$B$22,IF(A106&lt;=12,Assumptions!$B$23,Assumptions!$B$24)))/100</f>
      </c>
      <c r="E106">
        <f>Assumptions!$B$5*Assumptions!$B$33*Assumptions!$B$6*D106</f>
      </c>
      <c r="F106">
        <f>Assumptions!$B$5*Assumptions!$B$7*Assumptions!$B$6*D106</f>
      </c>
      <c r="G106">
        <f>Assumptions!$B$8</f>
      </c>
      <c r="H106">
        <f>IF(INDEX(Assumptions!$B$35:$B$47,B106)&lt;&gt;"",INDEX(Assumptions!$B$35:$B$47,B106)/100*Assumptions!$B$2,IF(B106&lt;=Assumptions!$B$17,0,IF(B106&lt;=Assumptions!$B$17+Assumptions!$B$18,Assumptions!$B$19,Assumptions!$B$20)))/12</f>
      </c>
      <c r="I106">
        <f>IF(Assumptions!$B$12="Cash",0,IF(A106&lt;=Assumptions!$B$15,Monthly!$S$1,0))</f>
      </c>
      <c r="J106">
        <f>E106-F106-G106-H106-I106</f>
      </c>
      <c r="K106">
        <f>IF(AND(A106-CEILING(Assumptions!$E$27/30,1)&gt;=1,A106-CEILING(Assumptions!$E$27/30,1)&lt;=156),INDEX($E$2:$E$157,A106-CEILING(Assumptions!$E$27/30,1))*Assumptions!$B$27/100,0)</f>
      </c>
      <c r="L106">
        <f>IF(AND(A106-CEILING(Assumptions!$E$28/30,1)&gt;=1,A106-CEILING(Assumptions!$E$28/30,1)&lt;=156),INDEX($E$2:$E$157,A106-CEILING(Assumptions!$E$28/30,1))*Assumptions!$B$28/100,0)</f>
      </c>
      <c r="M106">
        <f>IF(AND(A106-CEILING(Assumptions!$E$29/30,1)&gt;=1,A106-CEILING(Assumptions!$E$29/30,1)&lt;=156),INDEX($E$2:$E$157,A106-CEILING(Assumptions!$E$29/30,1))*Assumptions!$B$29/100,0)</f>
      </c>
      <c r="N106">
        <f>IF(AND(A106-CEILING(Assumptions!$E$30/30,1)&gt;=1,A106-CEILING(Assumptions!$E$30/30,1)&lt;=156),INDEX($E$2:$E$157,A106-CEILING(Assumptions!$E$30/30,1))*Assumptions!$B$30/100,0)</f>
      </c>
      <c r="O106">
        <f>IF(AND(A106-CEILING(Assumptions!$E$31/30,1)&gt;=1,A106-CEILING(Assumptions!$E$31/30,1)&lt;=156),INDEX($E$2:$E$157,A106-CEILING(Assumptions!$E$31/30,1))*Assumptions!$B$31/100,0)</f>
      </c>
      <c r="P106">
        <f>K106+L106+M106+N106+O106</f>
      </c>
    </row>
    <row r="107" spans="1:16" x14ac:dyDescent="0.25">
      <c r="A107">
        <v>106</v>
      </c>
      <c r="B107">
        <v>9</v>
      </c>
      <c r="C107">
        <f>Assumptions!$B$5*Assumptions!$B$32*Assumptions!$B$6*D107</f>
      </c>
      <c r="D107">
        <f>IF(A107&lt;=3,Assumptions!$B$21,IF(A107&lt;=6,Assumptions!$B$22,IF(A107&lt;=12,Assumptions!$B$23,Assumptions!$B$24)))/100</f>
      </c>
      <c r="E107">
        <f>Assumptions!$B$5*Assumptions!$B$33*Assumptions!$B$6*D107</f>
      </c>
      <c r="F107">
        <f>Assumptions!$B$5*Assumptions!$B$7*Assumptions!$B$6*D107</f>
      </c>
      <c r="G107">
        <f>Assumptions!$B$8</f>
      </c>
      <c r="H107">
        <f>IF(INDEX(Assumptions!$B$35:$B$47,B107)&lt;&gt;"",INDEX(Assumptions!$B$35:$B$47,B107)/100*Assumptions!$B$2,IF(B107&lt;=Assumptions!$B$17,0,IF(B107&lt;=Assumptions!$B$17+Assumptions!$B$18,Assumptions!$B$19,Assumptions!$B$20)))/12</f>
      </c>
      <c r="I107">
        <f>IF(Assumptions!$B$12="Cash",0,IF(A107&lt;=Assumptions!$B$15,Monthly!$S$1,0))</f>
      </c>
      <c r="J107">
        <f>E107-F107-G107-H107-I107</f>
      </c>
      <c r="K107">
        <f>IF(AND(A107-CEILING(Assumptions!$E$27/30,1)&gt;=1,A107-CEILING(Assumptions!$E$27/30,1)&lt;=156),INDEX($E$2:$E$157,A107-CEILING(Assumptions!$E$27/30,1))*Assumptions!$B$27/100,0)</f>
      </c>
      <c r="L107">
        <f>IF(AND(A107-CEILING(Assumptions!$E$28/30,1)&gt;=1,A107-CEILING(Assumptions!$E$28/30,1)&lt;=156),INDEX($E$2:$E$157,A107-CEILING(Assumptions!$E$28/30,1))*Assumptions!$B$28/100,0)</f>
      </c>
      <c r="M107">
        <f>IF(AND(A107-CEILING(Assumptions!$E$29/30,1)&gt;=1,A107-CEILING(Assumptions!$E$29/30,1)&lt;=156),INDEX($E$2:$E$157,A107-CEILING(Assumptions!$E$29/30,1))*Assumptions!$B$29/100,0)</f>
      </c>
      <c r="N107">
        <f>IF(AND(A107-CEILING(Assumptions!$E$30/30,1)&gt;=1,A107-CEILING(Assumptions!$E$30/30,1)&lt;=156),INDEX($E$2:$E$157,A107-CEILING(Assumptions!$E$30/30,1))*Assumptions!$B$30/100,0)</f>
      </c>
      <c r="O107">
        <f>IF(AND(A107-CEILING(Assumptions!$E$31/30,1)&gt;=1,A107-CEILING(Assumptions!$E$31/30,1)&lt;=156),INDEX($E$2:$E$157,A107-CEILING(Assumptions!$E$31/30,1))*Assumptions!$B$31/100,0)</f>
      </c>
      <c r="P107">
        <f>K107+L107+M107+N107+O107</f>
      </c>
    </row>
    <row r="108" spans="1:16" x14ac:dyDescent="0.25">
      <c r="A108">
        <v>107</v>
      </c>
      <c r="B108">
        <v>9</v>
      </c>
      <c r="C108">
        <f>Assumptions!$B$5*Assumptions!$B$32*Assumptions!$B$6*D108</f>
      </c>
      <c r="D108">
        <f>IF(A108&lt;=3,Assumptions!$B$21,IF(A108&lt;=6,Assumptions!$B$22,IF(A108&lt;=12,Assumptions!$B$23,Assumptions!$B$24)))/100</f>
      </c>
      <c r="E108">
        <f>Assumptions!$B$5*Assumptions!$B$33*Assumptions!$B$6*D108</f>
      </c>
      <c r="F108">
        <f>Assumptions!$B$5*Assumptions!$B$7*Assumptions!$B$6*D108</f>
      </c>
      <c r="G108">
        <f>Assumptions!$B$8</f>
      </c>
      <c r="H108">
        <f>IF(INDEX(Assumptions!$B$35:$B$47,B108)&lt;&gt;"",INDEX(Assumptions!$B$35:$B$47,B108)/100*Assumptions!$B$2,IF(B108&lt;=Assumptions!$B$17,0,IF(B108&lt;=Assumptions!$B$17+Assumptions!$B$18,Assumptions!$B$19,Assumptions!$B$20)))/12</f>
      </c>
      <c r="I108">
        <f>IF(Assumptions!$B$12="Cash",0,IF(A108&lt;=Assumptions!$B$15,Monthly!$S$1,0))</f>
      </c>
      <c r="J108">
        <f>E108-F108-G108-H108-I108</f>
      </c>
      <c r="K108">
        <f>IF(AND(A108-CEILING(Assumptions!$E$27/30,1)&gt;=1,A108-CEILING(Assumptions!$E$27/30,1)&lt;=156),INDEX($E$2:$E$157,A108-CEILING(Assumptions!$E$27/30,1))*Assumptions!$B$27/100,0)</f>
      </c>
      <c r="L108">
        <f>IF(AND(A108-CEILING(Assumptions!$E$28/30,1)&gt;=1,A108-CEILING(Assumptions!$E$28/30,1)&lt;=156),INDEX($E$2:$E$157,A108-CEILING(Assumptions!$E$28/30,1))*Assumptions!$B$28/100,0)</f>
      </c>
      <c r="M108">
        <f>IF(AND(A108-CEILING(Assumptions!$E$29/30,1)&gt;=1,A108-CEILING(Assumptions!$E$29/30,1)&lt;=156),INDEX($E$2:$E$157,A108-CEILING(Assumptions!$E$29/30,1))*Assumptions!$B$29/100,0)</f>
      </c>
      <c r="N108">
        <f>IF(AND(A108-CEILING(Assumptions!$E$30/30,1)&gt;=1,A108-CEILING(Assumptions!$E$30/30,1)&lt;=156),INDEX($E$2:$E$157,A108-CEILING(Assumptions!$E$30/30,1))*Assumptions!$B$30/100,0)</f>
      </c>
      <c r="O108">
        <f>IF(AND(A108-CEILING(Assumptions!$E$31/30,1)&gt;=1,A108-CEILING(Assumptions!$E$31/30,1)&lt;=156),INDEX($E$2:$E$157,A108-CEILING(Assumptions!$E$31/30,1))*Assumptions!$B$31/100,0)</f>
      </c>
      <c r="P108">
        <f>K108+L108+M108+N108+O108</f>
      </c>
    </row>
    <row r="109" spans="1:16" x14ac:dyDescent="0.25">
      <c r="A109">
        <v>108</v>
      </c>
      <c r="B109">
        <v>9</v>
      </c>
      <c r="C109">
        <f>Assumptions!$B$5*Assumptions!$B$32*Assumptions!$B$6*D109</f>
      </c>
      <c r="D109">
        <f>IF(A109&lt;=3,Assumptions!$B$21,IF(A109&lt;=6,Assumptions!$B$22,IF(A109&lt;=12,Assumptions!$B$23,Assumptions!$B$24)))/100</f>
      </c>
      <c r="E109">
        <f>Assumptions!$B$5*Assumptions!$B$33*Assumptions!$B$6*D109</f>
      </c>
      <c r="F109">
        <f>Assumptions!$B$5*Assumptions!$B$7*Assumptions!$B$6*D109</f>
      </c>
      <c r="G109">
        <f>Assumptions!$B$8</f>
      </c>
      <c r="H109">
        <f>IF(INDEX(Assumptions!$B$35:$B$47,B109)&lt;&gt;"",INDEX(Assumptions!$B$35:$B$47,B109)/100*Assumptions!$B$2,IF(B109&lt;=Assumptions!$B$17,0,IF(B109&lt;=Assumptions!$B$17+Assumptions!$B$18,Assumptions!$B$19,Assumptions!$B$20)))/12</f>
      </c>
      <c r="I109">
        <f>IF(Assumptions!$B$12="Cash",0,IF(A109&lt;=Assumptions!$B$15,Monthly!$S$1,0))</f>
      </c>
      <c r="J109">
        <f>E109-F109-G109-H109-I109</f>
      </c>
      <c r="K109">
        <f>IF(AND(A109-CEILING(Assumptions!$E$27/30,1)&gt;=1,A109-CEILING(Assumptions!$E$27/30,1)&lt;=156),INDEX($E$2:$E$157,A109-CEILING(Assumptions!$E$27/30,1))*Assumptions!$B$27/100,0)</f>
      </c>
      <c r="L109">
        <f>IF(AND(A109-CEILING(Assumptions!$E$28/30,1)&gt;=1,A109-CEILING(Assumptions!$E$28/30,1)&lt;=156),INDEX($E$2:$E$157,A109-CEILING(Assumptions!$E$28/30,1))*Assumptions!$B$28/100,0)</f>
      </c>
      <c r="M109">
        <f>IF(AND(A109-CEILING(Assumptions!$E$29/30,1)&gt;=1,A109-CEILING(Assumptions!$E$29/30,1)&lt;=156),INDEX($E$2:$E$157,A109-CEILING(Assumptions!$E$29/30,1))*Assumptions!$B$29/100,0)</f>
      </c>
      <c r="N109">
        <f>IF(AND(A109-CEILING(Assumptions!$E$30/30,1)&gt;=1,A109-CEILING(Assumptions!$E$30/30,1)&lt;=156),INDEX($E$2:$E$157,A109-CEILING(Assumptions!$E$30/30,1))*Assumptions!$B$30/100,0)</f>
      </c>
      <c r="O109">
        <f>IF(AND(A109-CEILING(Assumptions!$E$31/30,1)&gt;=1,A109-CEILING(Assumptions!$E$31/30,1)&lt;=156),INDEX($E$2:$E$157,A109-CEILING(Assumptions!$E$31/30,1))*Assumptions!$B$31/100,0)</f>
      </c>
      <c r="P109">
        <f>K109+L109+M109+N109+O109</f>
      </c>
    </row>
    <row r="110" spans="1:16" x14ac:dyDescent="0.25">
      <c r="A110">
        <v>109</v>
      </c>
      <c r="B110">
        <v>10</v>
      </c>
      <c r="C110">
        <f>Assumptions!$B$5*Assumptions!$B$32*Assumptions!$B$6*D110</f>
      </c>
      <c r="D110">
        <f>IF(A110&lt;=3,Assumptions!$B$21,IF(A110&lt;=6,Assumptions!$B$22,IF(A110&lt;=12,Assumptions!$B$23,Assumptions!$B$24)))/100</f>
      </c>
      <c r="E110">
        <f>Assumptions!$B$5*Assumptions!$B$33*Assumptions!$B$6*D110</f>
      </c>
      <c r="F110">
        <f>Assumptions!$B$5*Assumptions!$B$7*Assumptions!$B$6*D110</f>
      </c>
      <c r="G110">
        <f>Assumptions!$B$8</f>
      </c>
      <c r="H110">
        <f>IF(INDEX(Assumptions!$B$35:$B$47,B110)&lt;&gt;"",INDEX(Assumptions!$B$35:$B$47,B110)/100*Assumptions!$B$2,IF(B110&lt;=Assumptions!$B$17,0,IF(B110&lt;=Assumptions!$B$17+Assumptions!$B$18,Assumptions!$B$19,Assumptions!$B$20)))/12</f>
      </c>
      <c r="I110">
        <f>IF(Assumptions!$B$12="Cash",0,IF(A110&lt;=Assumptions!$B$15,Monthly!$S$1,0))</f>
      </c>
      <c r="J110">
        <f>E110-F110-G110-H110-I110</f>
      </c>
      <c r="K110">
        <f>IF(AND(A110-CEILING(Assumptions!$E$27/30,1)&gt;=1,A110-CEILING(Assumptions!$E$27/30,1)&lt;=156),INDEX($E$2:$E$157,A110-CEILING(Assumptions!$E$27/30,1))*Assumptions!$B$27/100,0)</f>
      </c>
      <c r="L110">
        <f>IF(AND(A110-CEILING(Assumptions!$E$28/30,1)&gt;=1,A110-CEILING(Assumptions!$E$28/30,1)&lt;=156),INDEX($E$2:$E$157,A110-CEILING(Assumptions!$E$28/30,1))*Assumptions!$B$28/100,0)</f>
      </c>
      <c r="M110">
        <f>IF(AND(A110-CEILING(Assumptions!$E$29/30,1)&gt;=1,A110-CEILING(Assumptions!$E$29/30,1)&lt;=156),INDEX($E$2:$E$157,A110-CEILING(Assumptions!$E$29/30,1))*Assumptions!$B$29/100,0)</f>
      </c>
      <c r="N110">
        <f>IF(AND(A110-CEILING(Assumptions!$E$30/30,1)&gt;=1,A110-CEILING(Assumptions!$E$30/30,1)&lt;=156),INDEX($E$2:$E$157,A110-CEILING(Assumptions!$E$30/30,1))*Assumptions!$B$30/100,0)</f>
      </c>
      <c r="O110">
        <f>IF(AND(A110-CEILING(Assumptions!$E$31/30,1)&gt;=1,A110-CEILING(Assumptions!$E$31/30,1)&lt;=156),INDEX($E$2:$E$157,A110-CEILING(Assumptions!$E$31/30,1))*Assumptions!$B$31/100,0)</f>
      </c>
      <c r="P110">
        <f>K110+L110+M110+N110+O110</f>
      </c>
    </row>
    <row r="111" spans="1:16" x14ac:dyDescent="0.25">
      <c r="A111">
        <v>110</v>
      </c>
      <c r="B111">
        <v>10</v>
      </c>
      <c r="C111">
        <f>Assumptions!$B$5*Assumptions!$B$32*Assumptions!$B$6*D111</f>
      </c>
      <c r="D111">
        <f>IF(A111&lt;=3,Assumptions!$B$21,IF(A111&lt;=6,Assumptions!$B$22,IF(A111&lt;=12,Assumptions!$B$23,Assumptions!$B$24)))/100</f>
      </c>
      <c r="E111">
        <f>Assumptions!$B$5*Assumptions!$B$33*Assumptions!$B$6*D111</f>
      </c>
      <c r="F111">
        <f>Assumptions!$B$5*Assumptions!$B$7*Assumptions!$B$6*D111</f>
      </c>
      <c r="G111">
        <f>Assumptions!$B$8</f>
      </c>
      <c r="H111">
        <f>IF(INDEX(Assumptions!$B$35:$B$47,B111)&lt;&gt;"",INDEX(Assumptions!$B$35:$B$47,B111)/100*Assumptions!$B$2,IF(B111&lt;=Assumptions!$B$17,0,IF(B111&lt;=Assumptions!$B$17+Assumptions!$B$18,Assumptions!$B$19,Assumptions!$B$20)))/12</f>
      </c>
      <c r="I111">
        <f>IF(Assumptions!$B$12="Cash",0,IF(A111&lt;=Assumptions!$B$15,Monthly!$S$1,0))</f>
      </c>
      <c r="J111">
        <f>E111-F111-G111-H111-I111</f>
      </c>
      <c r="K111">
        <f>IF(AND(A111-CEILING(Assumptions!$E$27/30,1)&gt;=1,A111-CEILING(Assumptions!$E$27/30,1)&lt;=156),INDEX($E$2:$E$157,A111-CEILING(Assumptions!$E$27/30,1))*Assumptions!$B$27/100,0)</f>
      </c>
      <c r="L111">
        <f>IF(AND(A111-CEILING(Assumptions!$E$28/30,1)&gt;=1,A111-CEILING(Assumptions!$E$28/30,1)&lt;=156),INDEX($E$2:$E$157,A111-CEILING(Assumptions!$E$28/30,1))*Assumptions!$B$28/100,0)</f>
      </c>
      <c r="M111">
        <f>IF(AND(A111-CEILING(Assumptions!$E$29/30,1)&gt;=1,A111-CEILING(Assumptions!$E$29/30,1)&lt;=156),INDEX($E$2:$E$157,A111-CEILING(Assumptions!$E$29/30,1))*Assumptions!$B$29/100,0)</f>
      </c>
      <c r="N111">
        <f>IF(AND(A111-CEILING(Assumptions!$E$30/30,1)&gt;=1,A111-CEILING(Assumptions!$E$30/30,1)&lt;=156),INDEX($E$2:$E$157,A111-CEILING(Assumptions!$E$30/30,1))*Assumptions!$B$30/100,0)</f>
      </c>
      <c r="O111">
        <f>IF(AND(A111-CEILING(Assumptions!$E$31/30,1)&gt;=1,A111-CEILING(Assumptions!$E$31/30,1)&lt;=156),INDEX($E$2:$E$157,A111-CEILING(Assumptions!$E$31/30,1))*Assumptions!$B$31/100,0)</f>
      </c>
      <c r="P111">
        <f>K111+L111+M111+N111+O111</f>
      </c>
    </row>
    <row r="112" spans="1:16" x14ac:dyDescent="0.25">
      <c r="A112">
        <v>111</v>
      </c>
      <c r="B112">
        <v>10</v>
      </c>
      <c r="C112">
        <f>Assumptions!$B$5*Assumptions!$B$32*Assumptions!$B$6*D112</f>
      </c>
      <c r="D112">
        <f>IF(A112&lt;=3,Assumptions!$B$21,IF(A112&lt;=6,Assumptions!$B$22,IF(A112&lt;=12,Assumptions!$B$23,Assumptions!$B$24)))/100</f>
      </c>
      <c r="E112">
        <f>Assumptions!$B$5*Assumptions!$B$33*Assumptions!$B$6*D112</f>
      </c>
      <c r="F112">
        <f>Assumptions!$B$5*Assumptions!$B$7*Assumptions!$B$6*D112</f>
      </c>
      <c r="G112">
        <f>Assumptions!$B$8</f>
      </c>
      <c r="H112">
        <f>IF(INDEX(Assumptions!$B$35:$B$47,B112)&lt;&gt;"",INDEX(Assumptions!$B$35:$B$47,B112)/100*Assumptions!$B$2,IF(B112&lt;=Assumptions!$B$17,0,IF(B112&lt;=Assumptions!$B$17+Assumptions!$B$18,Assumptions!$B$19,Assumptions!$B$20)))/12</f>
      </c>
      <c r="I112">
        <f>IF(Assumptions!$B$12="Cash",0,IF(A112&lt;=Assumptions!$B$15,Monthly!$S$1,0))</f>
      </c>
      <c r="J112">
        <f>E112-F112-G112-H112-I112</f>
      </c>
      <c r="K112">
        <f>IF(AND(A112-CEILING(Assumptions!$E$27/30,1)&gt;=1,A112-CEILING(Assumptions!$E$27/30,1)&lt;=156),INDEX($E$2:$E$157,A112-CEILING(Assumptions!$E$27/30,1))*Assumptions!$B$27/100,0)</f>
      </c>
      <c r="L112">
        <f>IF(AND(A112-CEILING(Assumptions!$E$28/30,1)&gt;=1,A112-CEILING(Assumptions!$E$28/30,1)&lt;=156),INDEX($E$2:$E$157,A112-CEILING(Assumptions!$E$28/30,1))*Assumptions!$B$28/100,0)</f>
      </c>
      <c r="M112">
        <f>IF(AND(A112-CEILING(Assumptions!$E$29/30,1)&gt;=1,A112-CEILING(Assumptions!$E$29/30,1)&lt;=156),INDEX($E$2:$E$157,A112-CEILING(Assumptions!$E$29/30,1))*Assumptions!$B$29/100,0)</f>
      </c>
      <c r="N112">
        <f>IF(AND(A112-CEILING(Assumptions!$E$30/30,1)&gt;=1,A112-CEILING(Assumptions!$E$30/30,1)&lt;=156),INDEX($E$2:$E$157,A112-CEILING(Assumptions!$E$30/30,1))*Assumptions!$B$30/100,0)</f>
      </c>
      <c r="O112">
        <f>IF(AND(A112-CEILING(Assumptions!$E$31/30,1)&gt;=1,A112-CEILING(Assumptions!$E$31/30,1)&lt;=156),INDEX($E$2:$E$157,A112-CEILING(Assumptions!$E$31/30,1))*Assumptions!$B$31/100,0)</f>
      </c>
      <c r="P112">
        <f>K112+L112+M112+N112+O112</f>
      </c>
    </row>
    <row r="113" spans="1:16" x14ac:dyDescent="0.25">
      <c r="A113">
        <v>112</v>
      </c>
      <c r="B113">
        <v>10</v>
      </c>
      <c r="C113">
        <f>Assumptions!$B$5*Assumptions!$B$32*Assumptions!$B$6*D113</f>
      </c>
      <c r="D113">
        <f>IF(A113&lt;=3,Assumptions!$B$21,IF(A113&lt;=6,Assumptions!$B$22,IF(A113&lt;=12,Assumptions!$B$23,Assumptions!$B$24)))/100</f>
      </c>
      <c r="E113">
        <f>Assumptions!$B$5*Assumptions!$B$33*Assumptions!$B$6*D113</f>
      </c>
      <c r="F113">
        <f>Assumptions!$B$5*Assumptions!$B$7*Assumptions!$B$6*D113</f>
      </c>
      <c r="G113">
        <f>Assumptions!$B$8</f>
      </c>
      <c r="H113">
        <f>IF(INDEX(Assumptions!$B$35:$B$47,B113)&lt;&gt;"",INDEX(Assumptions!$B$35:$B$47,B113)/100*Assumptions!$B$2,IF(B113&lt;=Assumptions!$B$17,0,IF(B113&lt;=Assumptions!$B$17+Assumptions!$B$18,Assumptions!$B$19,Assumptions!$B$20)))/12</f>
      </c>
      <c r="I113">
        <f>IF(Assumptions!$B$12="Cash",0,IF(A113&lt;=Assumptions!$B$15,Monthly!$S$1,0))</f>
      </c>
      <c r="J113">
        <f>E113-F113-G113-H113-I113</f>
      </c>
      <c r="K113">
        <f>IF(AND(A113-CEILING(Assumptions!$E$27/30,1)&gt;=1,A113-CEILING(Assumptions!$E$27/30,1)&lt;=156),INDEX($E$2:$E$157,A113-CEILING(Assumptions!$E$27/30,1))*Assumptions!$B$27/100,0)</f>
      </c>
      <c r="L113">
        <f>IF(AND(A113-CEILING(Assumptions!$E$28/30,1)&gt;=1,A113-CEILING(Assumptions!$E$28/30,1)&lt;=156),INDEX($E$2:$E$157,A113-CEILING(Assumptions!$E$28/30,1))*Assumptions!$B$28/100,0)</f>
      </c>
      <c r="M113">
        <f>IF(AND(A113-CEILING(Assumptions!$E$29/30,1)&gt;=1,A113-CEILING(Assumptions!$E$29/30,1)&lt;=156),INDEX($E$2:$E$157,A113-CEILING(Assumptions!$E$29/30,1))*Assumptions!$B$29/100,0)</f>
      </c>
      <c r="N113">
        <f>IF(AND(A113-CEILING(Assumptions!$E$30/30,1)&gt;=1,A113-CEILING(Assumptions!$E$30/30,1)&lt;=156),INDEX($E$2:$E$157,A113-CEILING(Assumptions!$E$30/30,1))*Assumptions!$B$30/100,0)</f>
      </c>
      <c r="O113">
        <f>IF(AND(A113-CEILING(Assumptions!$E$31/30,1)&gt;=1,A113-CEILING(Assumptions!$E$31/30,1)&lt;=156),INDEX($E$2:$E$157,A113-CEILING(Assumptions!$E$31/30,1))*Assumptions!$B$31/100,0)</f>
      </c>
      <c r="P113">
        <f>K113+L113+M113+N113+O113</f>
      </c>
    </row>
    <row r="114" spans="1:16" x14ac:dyDescent="0.25">
      <c r="A114">
        <v>113</v>
      </c>
      <c r="B114">
        <v>10</v>
      </c>
      <c r="C114">
        <f>Assumptions!$B$5*Assumptions!$B$32*Assumptions!$B$6*D114</f>
      </c>
      <c r="D114">
        <f>IF(A114&lt;=3,Assumptions!$B$21,IF(A114&lt;=6,Assumptions!$B$22,IF(A114&lt;=12,Assumptions!$B$23,Assumptions!$B$24)))/100</f>
      </c>
      <c r="E114">
        <f>Assumptions!$B$5*Assumptions!$B$33*Assumptions!$B$6*D114</f>
      </c>
      <c r="F114">
        <f>Assumptions!$B$5*Assumptions!$B$7*Assumptions!$B$6*D114</f>
      </c>
      <c r="G114">
        <f>Assumptions!$B$8</f>
      </c>
      <c r="H114">
        <f>IF(INDEX(Assumptions!$B$35:$B$47,B114)&lt;&gt;"",INDEX(Assumptions!$B$35:$B$47,B114)/100*Assumptions!$B$2,IF(B114&lt;=Assumptions!$B$17,0,IF(B114&lt;=Assumptions!$B$17+Assumptions!$B$18,Assumptions!$B$19,Assumptions!$B$20)))/12</f>
      </c>
      <c r="I114">
        <f>IF(Assumptions!$B$12="Cash",0,IF(A114&lt;=Assumptions!$B$15,Monthly!$S$1,0))</f>
      </c>
      <c r="J114">
        <f>E114-F114-G114-H114-I114</f>
      </c>
      <c r="K114">
        <f>IF(AND(A114-CEILING(Assumptions!$E$27/30,1)&gt;=1,A114-CEILING(Assumptions!$E$27/30,1)&lt;=156),INDEX($E$2:$E$157,A114-CEILING(Assumptions!$E$27/30,1))*Assumptions!$B$27/100,0)</f>
      </c>
      <c r="L114">
        <f>IF(AND(A114-CEILING(Assumptions!$E$28/30,1)&gt;=1,A114-CEILING(Assumptions!$E$28/30,1)&lt;=156),INDEX($E$2:$E$157,A114-CEILING(Assumptions!$E$28/30,1))*Assumptions!$B$28/100,0)</f>
      </c>
      <c r="M114">
        <f>IF(AND(A114-CEILING(Assumptions!$E$29/30,1)&gt;=1,A114-CEILING(Assumptions!$E$29/30,1)&lt;=156),INDEX($E$2:$E$157,A114-CEILING(Assumptions!$E$29/30,1))*Assumptions!$B$29/100,0)</f>
      </c>
      <c r="N114">
        <f>IF(AND(A114-CEILING(Assumptions!$E$30/30,1)&gt;=1,A114-CEILING(Assumptions!$E$30/30,1)&lt;=156),INDEX($E$2:$E$157,A114-CEILING(Assumptions!$E$30/30,1))*Assumptions!$B$30/100,0)</f>
      </c>
      <c r="O114">
        <f>IF(AND(A114-CEILING(Assumptions!$E$31/30,1)&gt;=1,A114-CEILING(Assumptions!$E$31/30,1)&lt;=156),INDEX($E$2:$E$157,A114-CEILING(Assumptions!$E$31/30,1))*Assumptions!$B$31/100,0)</f>
      </c>
      <c r="P114">
        <f>K114+L114+M114+N114+O114</f>
      </c>
    </row>
    <row r="115" spans="1:16" x14ac:dyDescent="0.25">
      <c r="A115">
        <v>114</v>
      </c>
      <c r="B115">
        <v>10</v>
      </c>
      <c r="C115">
        <f>Assumptions!$B$5*Assumptions!$B$32*Assumptions!$B$6*D115</f>
      </c>
      <c r="D115">
        <f>IF(A115&lt;=3,Assumptions!$B$21,IF(A115&lt;=6,Assumptions!$B$22,IF(A115&lt;=12,Assumptions!$B$23,Assumptions!$B$24)))/100</f>
      </c>
      <c r="E115">
        <f>Assumptions!$B$5*Assumptions!$B$33*Assumptions!$B$6*D115</f>
      </c>
      <c r="F115">
        <f>Assumptions!$B$5*Assumptions!$B$7*Assumptions!$B$6*D115</f>
      </c>
      <c r="G115">
        <f>Assumptions!$B$8</f>
      </c>
      <c r="H115">
        <f>IF(INDEX(Assumptions!$B$35:$B$47,B115)&lt;&gt;"",INDEX(Assumptions!$B$35:$B$47,B115)/100*Assumptions!$B$2,IF(B115&lt;=Assumptions!$B$17,0,IF(B115&lt;=Assumptions!$B$17+Assumptions!$B$18,Assumptions!$B$19,Assumptions!$B$20)))/12</f>
      </c>
      <c r="I115">
        <f>IF(Assumptions!$B$12="Cash",0,IF(A115&lt;=Assumptions!$B$15,Monthly!$S$1,0))</f>
      </c>
      <c r="J115">
        <f>E115-F115-G115-H115-I115</f>
      </c>
      <c r="K115">
        <f>IF(AND(A115-CEILING(Assumptions!$E$27/30,1)&gt;=1,A115-CEILING(Assumptions!$E$27/30,1)&lt;=156),INDEX($E$2:$E$157,A115-CEILING(Assumptions!$E$27/30,1))*Assumptions!$B$27/100,0)</f>
      </c>
      <c r="L115">
        <f>IF(AND(A115-CEILING(Assumptions!$E$28/30,1)&gt;=1,A115-CEILING(Assumptions!$E$28/30,1)&lt;=156),INDEX($E$2:$E$157,A115-CEILING(Assumptions!$E$28/30,1))*Assumptions!$B$28/100,0)</f>
      </c>
      <c r="M115">
        <f>IF(AND(A115-CEILING(Assumptions!$E$29/30,1)&gt;=1,A115-CEILING(Assumptions!$E$29/30,1)&lt;=156),INDEX($E$2:$E$157,A115-CEILING(Assumptions!$E$29/30,1))*Assumptions!$B$29/100,0)</f>
      </c>
      <c r="N115">
        <f>IF(AND(A115-CEILING(Assumptions!$E$30/30,1)&gt;=1,A115-CEILING(Assumptions!$E$30/30,1)&lt;=156),INDEX($E$2:$E$157,A115-CEILING(Assumptions!$E$30/30,1))*Assumptions!$B$30/100,0)</f>
      </c>
      <c r="O115">
        <f>IF(AND(A115-CEILING(Assumptions!$E$31/30,1)&gt;=1,A115-CEILING(Assumptions!$E$31/30,1)&lt;=156),INDEX($E$2:$E$157,A115-CEILING(Assumptions!$E$31/30,1))*Assumptions!$B$31/100,0)</f>
      </c>
      <c r="P115">
        <f>K115+L115+M115+N115+O115</f>
      </c>
    </row>
    <row r="116" spans="1:16" x14ac:dyDescent="0.25">
      <c r="A116">
        <v>115</v>
      </c>
      <c r="B116">
        <v>10</v>
      </c>
      <c r="C116">
        <f>Assumptions!$B$5*Assumptions!$B$32*Assumptions!$B$6*D116</f>
      </c>
      <c r="D116">
        <f>IF(A116&lt;=3,Assumptions!$B$21,IF(A116&lt;=6,Assumptions!$B$22,IF(A116&lt;=12,Assumptions!$B$23,Assumptions!$B$24)))/100</f>
      </c>
      <c r="E116">
        <f>Assumptions!$B$5*Assumptions!$B$33*Assumptions!$B$6*D116</f>
      </c>
      <c r="F116">
        <f>Assumptions!$B$5*Assumptions!$B$7*Assumptions!$B$6*D116</f>
      </c>
      <c r="G116">
        <f>Assumptions!$B$8</f>
      </c>
      <c r="H116">
        <f>IF(INDEX(Assumptions!$B$35:$B$47,B116)&lt;&gt;"",INDEX(Assumptions!$B$35:$B$47,B116)/100*Assumptions!$B$2,IF(B116&lt;=Assumptions!$B$17,0,IF(B116&lt;=Assumptions!$B$17+Assumptions!$B$18,Assumptions!$B$19,Assumptions!$B$20)))/12</f>
      </c>
      <c r="I116">
        <f>IF(Assumptions!$B$12="Cash",0,IF(A116&lt;=Assumptions!$B$15,Monthly!$S$1,0))</f>
      </c>
      <c r="J116">
        <f>E116-F116-G116-H116-I116</f>
      </c>
      <c r="K116">
        <f>IF(AND(A116-CEILING(Assumptions!$E$27/30,1)&gt;=1,A116-CEILING(Assumptions!$E$27/30,1)&lt;=156),INDEX($E$2:$E$157,A116-CEILING(Assumptions!$E$27/30,1))*Assumptions!$B$27/100,0)</f>
      </c>
      <c r="L116">
        <f>IF(AND(A116-CEILING(Assumptions!$E$28/30,1)&gt;=1,A116-CEILING(Assumptions!$E$28/30,1)&lt;=156),INDEX($E$2:$E$157,A116-CEILING(Assumptions!$E$28/30,1))*Assumptions!$B$28/100,0)</f>
      </c>
      <c r="M116">
        <f>IF(AND(A116-CEILING(Assumptions!$E$29/30,1)&gt;=1,A116-CEILING(Assumptions!$E$29/30,1)&lt;=156),INDEX($E$2:$E$157,A116-CEILING(Assumptions!$E$29/30,1))*Assumptions!$B$29/100,0)</f>
      </c>
      <c r="N116">
        <f>IF(AND(A116-CEILING(Assumptions!$E$30/30,1)&gt;=1,A116-CEILING(Assumptions!$E$30/30,1)&lt;=156),INDEX($E$2:$E$157,A116-CEILING(Assumptions!$E$30/30,1))*Assumptions!$B$30/100,0)</f>
      </c>
      <c r="O116">
        <f>IF(AND(A116-CEILING(Assumptions!$E$31/30,1)&gt;=1,A116-CEILING(Assumptions!$E$31/30,1)&lt;=156),INDEX($E$2:$E$157,A116-CEILING(Assumptions!$E$31/30,1))*Assumptions!$B$31/100,0)</f>
      </c>
      <c r="P116">
        <f>K116+L116+M116+N116+O116</f>
      </c>
    </row>
    <row r="117" spans="1:16" x14ac:dyDescent="0.25">
      <c r="A117">
        <v>116</v>
      </c>
      <c r="B117">
        <v>10</v>
      </c>
      <c r="C117">
        <f>Assumptions!$B$5*Assumptions!$B$32*Assumptions!$B$6*D117</f>
      </c>
      <c r="D117">
        <f>IF(A117&lt;=3,Assumptions!$B$21,IF(A117&lt;=6,Assumptions!$B$22,IF(A117&lt;=12,Assumptions!$B$23,Assumptions!$B$24)))/100</f>
      </c>
      <c r="E117">
        <f>Assumptions!$B$5*Assumptions!$B$33*Assumptions!$B$6*D117</f>
      </c>
      <c r="F117">
        <f>Assumptions!$B$5*Assumptions!$B$7*Assumptions!$B$6*D117</f>
      </c>
      <c r="G117">
        <f>Assumptions!$B$8</f>
      </c>
      <c r="H117">
        <f>IF(INDEX(Assumptions!$B$35:$B$47,B117)&lt;&gt;"",INDEX(Assumptions!$B$35:$B$47,B117)/100*Assumptions!$B$2,IF(B117&lt;=Assumptions!$B$17,0,IF(B117&lt;=Assumptions!$B$17+Assumptions!$B$18,Assumptions!$B$19,Assumptions!$B$20)))/12</f>
      </c>
      <c r="I117">
        <f>IF(Assumptions!$B$12="Cash",0,IF(A117&lt;=Assumptions!$B$15,Monthly!$S$1,0))</f>
      </c>
      <c r="J117">
        <f>E117-F117-G117-H117-I117</f>
      </c>
      <c r="K117">
        <f>IF(AND(A117-CEILING(Assumptions!$E$27/30,1)&gt;=1,A117-CEILING(Assumptions!$E$27/30,1)&lt;=156),INDEX($E$2:$E$157,A117-CEILING(Assumptions!$E$27/30,1))*Assumptions!$B$27/100,0)</f>
      </c>
      <c r="L117">
        <f>IF(AND(A117-CEILING(Assumptions!$E$28/30,1)&gt;=1,A117-CEILING(Assumptions!$E$28/30,1)&lt;=156),INDEX($E$2:$E$157,A117-CEILING(Assumptions!$E$28/30,1))*Assumptions!$B$28/100,0)</f>
      </c>
      <c r="M117">
        <f>IF(AND(A117-CEILING(Assumptions!$E$29/30,1)&gt;=1,A117-CEILING(Assumptions!$E$29/30,1)&lt;=156),INDEX($E$2:$E$157,A117-CEILING(Assumptions!$E$29/30,1))*Assumptions!$B$29/100,0)</f>
      </c>
      <c r="N117">
        <f>IF(AND(A117-CEILING(Assumptions!$E$30/30,1)&gt;=1,A117-CEILING(Assumptions!$E$30/30,1)&lt;=156),INDEX($E$2:$E$157,A117-CEILING(Assumptions!$E$30/30,1))*Assumptions!$B$30/100,0)</f>
      </c>
      <c r="O117">
        <f>IF(AND(A117-CEILING(Assumptions!$E$31/30,1)&gt;=1,A117-CEILING(Assumptions!$E$31/30,1)&lt;=156),INDEX($E$2:$E$157,A117-CEILING(Assumptions!$E$31/30,1))*Assumptions!$B$31/100,0)</f>
      </c>
      <c r="P117">
        <f>K117+L117+M117+N117+O117</f>
      </c>
    </row>
    <row r="118" spans="1:16" x14ac:dyDescent="0.25">
      <c r="A118">
        <v>117</v>
      </c>
      <c r="B118">
        <v>10</v>
      </c>
      <c r="C118">
        <f>Assumptions!$B$5*Assumptions!$B$32*Assumptions!$B$6*D118</f>
      </c>
      <c r="D118">
        <f>IF(A118&lt;=3,Assumptions!$B$21,IF(A118&lt;=6,Assumptions!$B$22,IF(A118&lt;=12,Assumptions!$B$23,Assumptions!$B$24)))/100</f>
      </c>
      <c r="E118">
        <f>Assumptions!$B$5*Assumptions!$B$33*Assumptions!$B$6*D118</f>
      </c>
      <c r="F118">
        <f>Assumptions!$B$5*Assumptions!$B$7*Assumptions!$B$6*D118</f>
      </c>
      <c r="G118">
        <f>Assumptions!$B$8</f>
      </c>
      <c r="H118">
        <f>IF(INDEX(Assumptions!$B$35:$B$47,B118)&lt;&gt;"",INDEX(Assumptions!$B$35:$B$47,B118)/100*Assumptions!$B$2,IF(B118&lt;=Assumptions!$B$17,0,IF(B118&lt;=Assumptions!$B$17+Assumptions!$B$18,Assumptions!$B$19,Assumptions!$B$20)))/12</f>
      </c>
      <c r="I118">
        <f>IF(Assumptions!$B$12="Cash",0,IF(A118&lt;=Assumptions!$B$15,Monthly!$S$1,0))</f>
      </c>
      <c r="J118">
        <f>E118-F118-G118-H118-I118</f>
      </c>
      <c r="K118">
        <f>IF(AND(A118-CEILING(Assumptions!$E$27/30,1)&gt;=1,A118-CEILING(Assumptions!$E$27/30,1)&lt;=156),INDEX($E$2:$E$157,A118-CEILING(Assumptions!$E$27/30,1))*Assumptions!$B$27/100,0)</f>
      </c>
      <c r="L118">
        <f>IF(AND(A118-CEILING(Assumptions!$E$28/30,1)&gt;=1,A118-CEILING(Assumptions!$E$28/30,1)&lt;=156),INDEX($E$2:$E$157,A118-CEILING(Assumptions!$E$28/30,1))*Assumptions!$B$28/100,0)</f>
      </c>
      <c r="M118">
        <f>IF(AND(A118-CEILING(Assumptions!$E$29/30,1)&gt;=1,A118-CEILING(Assumptions!$E$29/30,1)&lt;=156),INDEX($E$2:$E$157,A118-CEILING(Assumptions!$E$29/30,1))*Assumptions!$B$29/100,0)</f>
      </c>
      <c r="N118">
        <f>IF(AND(A118-CEILING(Assumptions!$E$30/30,1)&gt;=1,A118-CEILING(Assumptions!$E$30/30,1)&lt;=156),INDEX($E$2:$E$157,A118-CEILING(Assumptions!$E$30/30,1))*Assumptions!$B$30/100,0)</f>
      </c>
      <c r="O118">
        <f>IF(AND(A118-CEILING(Assumptions!$E$31/30,1)&gt;=1,A118-CEILING(Assumptions!$E$31/30,1)&lt;=156),INDEX($E$2:$E$157,A118-CEILING(Assumptions!$E$31/30,1))*Assumptions!$B$31/100,0)</f>
      </c>
      <c r="P118">
        <f>K118+L118+M118+N118+O118</f>
      </c>
    </row>
    <row r="119" spans="1:16" x14ac:dyDescent="0.25">
      <c r="A119">
        <v>118</v>
      </c>
      <c r="B119">
        <v>10</v>
      </c>
      <c r="C119">
        <f>Assumptions!$B$5*Assumptions!$B$32*Assumptions!$B$6*D119</f>
      </c>
      <c r="D119">
        <f>IF(A119&lt;=3,Assumptions!$B$21,IF(A119&lt;=6,Assumptions!$B$22,IF(A119&lt;=12,Assumptions!$B$23,Assumptions!$B$24)))/100</f>
      </c>
      <c r="E119">
        <f>Assumptions!$B$5*Assumptions!$B$33*Assumptions!$B$6*D119</f>
      </c>
      <c r="F119">
        <f>Assumptions!$B$5*Assumptions!$B$7*Assumptions!$B$6*D119</f>
      </c>
      <c r="G119">
        <f>Assumptions!$B$8</f>
      </c>
      <c r="H119">
        <f>IF(INDEX(Assumptions!$B$35:$B$47,B119)&lt;&gt;"",INDEX(Assumptions!$B$35:$B$47,B119)/100*Assumptions!$B$2,IF(B119&lt;=Assumptions!$B$17,0,IF(B119&lt;=Assumptions!$B$17+Assumptions!$B$18,Assumptions!$B$19,Assumptions!$B$20)))/12</f>
      </c>
      <c r="I119">
        <f>IF(Assumptions!$B$12="Cash",0,IF(A119&lt;=Assumptions!$B$15,Monthly!$S$1,0))</f>
      </c>
      <c r="J119">
        <f>E119-F119-G119-H119-I119</f>
      </c>
      <c r="K119">
        <f>IF(AND(A119-CEILING(Assumptions!$E$27/30,1)&gt;=1,A119-CEILING(Assumptions!$E$27/30,1)&lt;=156),INDEX($E$2:$E$157,A119-CEILING(Assumptions!$E$27/30,1))*Assumptions!$B$27/100,0)</f>
      </c>
      <c r="L119">
        <f>IF(AND(A119-CEILING(Assumptions!$E$28/30,1)&gt;=1,A119-CEILING(Assumptions!$E$28/30,1)&lt;=156),INDEX($E$2:$E$157,A119-CEILING(Assumptions!$E$28/30,1))*Assumptions!$B$28/100,0)</f>
      </c>
      <c r="M119">
        <f>IF(AND(A119-CEILING(Assumptions!$E$29/30,1)&gt;=1,A119-CEILING(Assumptions!$E$29/30,1)&lt;=156),INDEX($E$2:$E$157,A119-CEILING(Assumptions!$E$29/30,1))*Assumptions!$B$29/100,0)</f>
      </c>
      <c r="N119">
        <f>IF(AND(A119-CEILING(Assumptions!$E$30/30,1)&gt;=1,A119-CEILING(Assumptions!$E$30/30,1)&lt;=156),INDEX($E$2:$E$157,A119-CEILING(Assumptions!$E$30/30,1))*Assumptions!$B$30/100,0)</f>
      </c>
      <c r="O119">
        <f>IF(AND(A119-CEILING(Assumptions!$E$31/30,1)&gt;=1,A119-CEILING(Assumptions!$E$31/30,1)&lt;=156),INDEX($E$2:$E$157,A119-CEILING(Assumptions!$E$31/30,1))*Assumptions!$B$31/100,0)</f>
      </c>
      <c r="P119">
        <f>K119+L119+M119+N119+O119</f>
      </c>
    </row>
    <row r="120" spans="1:16" x14ac:dyDescent="0.25">
      <c r="A120">
        <v>119</v>
      </c>
      <c r="B120">
        <v>10</v>
      </c>
      <c r="C120">
        <f>Assumptions!$B$5*Assumptions!$B$32*Assumptions!$B$6*D120</f>
      </c>
      <c r="D120">
        <f>IF(A120&lt;=3,Assumptions!$B$21,IF(A120&lt;=6,Assumptions!$B$22,IF(A120&lt;=12,Assumptions!$B$23,Assumptions!$B$24)))/100</f>
      </c>
      <c r="E120">
        <f>Assumptions!$B$5*Assumptions!$B$33*Assumptions!$B$6*D120</f>
      </c>
      <c r="F120">
        <f>Assumptions!$B$5*Assumptions!$B$7*Assumptions!$B$6*D120</f>
      </c>
      <c r="G120">
        <f>Assumptions!$B$8</f>
      </c>
      <c r="H120">
        <f>IF(INDEX(Assumptions!$B$35:$B$47,B120)&lt;&gt;"",INDEX(Assumptions!$B$35:$B$47,B120)/100*Assumptions!$B$2,IF(B120&lt;=Assumptions!$B$17,0,IF(B120&lt;=Assumptions!$B$17+Assumptions!$B$18,Assumptions!$B$19,Assumptions!$B$20)))/12</f>
      </c>
      <c r="I120">
        <f>IF(Assumptions!$B$12="Cash",0,IF(A120&lt;=Assumptions!$B$15,Monthly!$S$1,0))</f>
      </c>
      <c r="J120">
        <f>E120-F120-G120-H120-I120</f>
      </c>
      <c r="K120">
        <f>IF(AND(A120-CEILING(Assumptions!$E$27/30,1)&gt;=1,A120-CEILING(Assumptions!$E$27/30,1)&lt;=156),INDEX($E$2:$E$157,A120-CEILING(Assumptions!$E$27/30,1))*Assumptions!$B$27/100,0)</f>
      </c>
      <c r="L120">
        <f>IF(AND(A120-CEILING(Assumptions!$E$28/30,1)&gt;=1,A120-CEILING(Assumptions!$E$28/30,1)&lt;=156),INDEX($E$2:$E$157,A120-CEILING(Assumptions!$E$28/30,1))*Assumptions!$B$28/100,0)</f>
      </c>
      <c r="M120">
        <f>IF(AND(A120-CEILING(Assumptions!$E$29/30,1)&gt;=1,A120-CEILING(Assumptions!$E$29/30,1)&lt;=156),INDEX($E$2:$E$157,A120-CEILING(Assumptions!$E$29/30,1))*Assumptions!$B$29/100,0)</f>
      </c>
      <c r="N120">
        <f>IF(AND(A120-CEILING(Assumptions!$E$30/30,1)&gt;=1,A120-CEILING(Assumptions!$E$30/30,1)&lt;=156),INDEX($E$2:$E$157,A120-CEILING(Assumptions!$E$30/30,1))*Assumptions!$B$30/100,0)</f>
      </c>
      <c r="O120">
        <f>IF(AND(A120-CEILING(Assumptions!$E$31/30,1)&gt;=1,A120-CEILING(Assumptions!$E$31/30,1)&lt;=156),INDEX($E$2:$E$157,A120-CEILING(Assumptions!$E$31/30,1))*Assumptions!$B$31/100,0)</f>
      </c>
      <c r="P120">
        <f>K120+L120+M120+N120+O120</f>
      </c>
    </row>
    <row r="121" spans="1:16" x14ac:dyDescent="0.25">
      <c r="A121">
        <v>120</v>
      </c>
      <c r="B121">
        <v>10</v>
      </c>
      <c r="C121">
        <f>Assumptions!$B$5*Assumptions!$B$32*Assumptions!$B$6*D121</f>
      </c>
      <c r="D121">
        <f>IF(A121&lt;=3,Assumptions!$B$21,IF(A121&lt;=6,Assumptions!$B$22,IF(A121&lt;=12,Assumptions!$B$23,Assumptions!$B$24)))/100</f>
      </c>
      <c r="E121">
        <f>Assumptions!$B$5*Assumptions!$B$33*Assumptions!$B$6*D121</f>
      </c>
      <c r="F121">
        <f>Assumptions!$B$5*Assumptions!$B$7*Assumptions!$B$6*D121</f>
      </c>
      <c r="G121">
        <f>Assumptions!$B$8</f>
      </c>
      <c r="H121">
        <f>IF(INDEX(Assumptions!$B$35:$B$47,B121)&lt;&gt;"",INDEX(Assumptions!$B$35:$B$47,B121)/100*Assumptions!$B$2,IF(B121&lt;=Assumptions!$B$17,0,IF(B121&lt;=Assumptions!$B$17+Assumptions!$B$18,Assumptions!$B$19,Assumptions!$B$20)))/12</f>
      </c>
      <c r="I121">
        <f>IF(Assumptions!$B$12="Cash",0,IF(A121&lt;=Assumptions!$B$15,Monthly!$S$1,0))</f>
      </c>
      <c r="J121">
        <f>E121-F121-G121-H121-I121</f>
      </c>
      <c r="K121">
        <f>IF(AND(A121-CEILING(Assumptions!$E$27/30,1)&gt;=1,A121-CEILING(Assumptions!$E$27/30,1)&lt;=156),INDEX($E$2:$E$157,A121-CEILING(Assumptions!$E$27/30,1))*Assumptions!$B$27/100,0)</f>
      </c>
      <c r="L121">
        <f>IF(AND(A121-CEILING(Assumptions!$E$28/30,1)&gt;=1,A121-CEILING(Assumptions!$E$28/30,1)&lt;=156),INDEX($E$2:$E$157,A121-CEILING(Assumptions!$E$28/30,1))*Assumptions!$B$28/100,0)</f>
      </c>
      <c r="M121">
        <f>IF(AND(A121-CEILING(Assumptions!$E$29/30,1)&gt;=1,A121-CEILING(Assumptions!$E$29/30,1)&lt;=156),INDEX($E$2:$E$157,A121-CEILING(Assumptions!$E$29/30,1))*Assumptions!$B$29/100,0)</f>
      </c>
      <c r="N121">
        <f>IF(AND(A121-CEILING(Assumptions!$E$30/30,1)&gt;=1,A121-CEILING(Assumptions!$E$30/30,1)&lt;=156),INDEX($E$2:$E$157,A121-CEILING(Assumptions!$E$30/30,1))*Assumptions!$B$30/100,0)</f>
      </c>
      <c r="O121">
        <f>IF(AND(A121-CEILING(Assumptions!$E$31/30,1)&gt;=1,A121-CEILING(Assumptions!$E$31/30,1)&lt;=156),INDEX($E$2:$E$157,A121-CEILING(Assumptions!$E$31/30,1))*Assumptions!$B$31/100,0)</f>
      </c>
      <c r="P121">
        <f>K121+L121+M121+N121+O121</f>
      </c>
    </row>
    <row r="122" spans="1:16" x14ac:dyDescent="0.25">
      <c r="A122">
        <v>121</v>
      </c>
      <c r="B122">
        <v>11</v>
      </c>
      <c r="C122">
        <f>Assumptions!$B$5*Assumptions!$B$32*Assumptions!$B$6*D122</f>
      </c>
      <c r="D122">
        <f>IF(A122&lt;=3,Assumptions!$B$21,IF(A122&lt;=6,Assumptions!$B$22,IF(A122&lt;=12,Assumptions!$B$23,Assumptions!$B$24)))/100</f>
      </c>
      <c r="E122">
        <f>Assumptions!$B$5*Assumptions!$B$33*Assumptions!$B$6*D122</f>
      </c>
      <c r="F122">
        <f>Assumptions!$B$5*Assumptions!$B$7*Assumptions!$B$6*D122</f>
      </c>
      <c r="G122">
        <f>Assumptions!$B$8</f>
      </c>
      <c r="H122">
        <f>IF(INDEX(Assumptions!$B$35:$B$47,B122)&lt;&gt;"",INDEX(Assumptions!$B$35:$B$47,B122)/100*Assumptions!$B$2,IF(B122&lt;=Assumptions!$B$17,0,IF(B122&lt;=Assumptions!$B$17+Assumptions!$B$18,Assumptions!$B$19,Assumptions!$B$20)))/12</f>
      </c>
      <c r="I122">
        <f>IF(Assumptions!$B$12="Cash",0,IF(A122&lt;=Assumptions!$B$15,Monthly!$S$1,0))</f>
      </c>
      <c r="J122">
        <f>E122-F122-G122-H122-I122</f>
      </c>
      <c r="K122">
        <f>IF(AND(A122-CEILING(Assumptions!$E$27/30,1)&gt;=1,A122-CEILING(Assumptions!$E$27/30,1)&lt;=156),INDEX($E$2:$E$157,A122-CEILING(Assumptions!$E$27/30,1))*Assumptions!$B$27/100,0)</f>
      </c>
      <c r="L122">
        <f>IF(AND(A122-CEILING(Assumptions!$E$28/30,1)&gt;=1,A122-CEILING(Assumptions!$E$28/30,1)&lt;=156),INDEX($E$2:$E$157,A122-CEILING(Assumptions!$E$28/30,1))*Assumptions!$B$28/100,0)</f>
      </c>
      <c r="M122">
        <f>IF(AND(A122-CEILING(Assumptions!$E$29/30,1)&gt;=1,A122-CEILING(Assumptions!$E$29/30,1)&lt;=156),INDEX($E$2:$E$157,A122-CEILING(Assumptions!$E$29/30,1))*Assumptions!$B$29/100,0)</f>
      </c>
      <c r="N122">
        <f>IF(AND(A122-CEILING(Assumptions!$E$30/30,1)&gt;=1,A122-CEILING(Assumptions!$E$30/30,1)&lt;=156),INDEX($E$2:$E$157,A122-CEILING(Assumptions!$E$30/30,1))*Assumptions!$B$30/100,0)</f>
      </c>
      <c r="O122">
        <f>IF(AND(A122-CEILING(Assumptions!$E$31/30,1)&gt;=1,A122-CEILING(Assumptions!$E$31/30,1)&lt;=156),INDEX($E$2:$E$157,A122-CEILING(Assumptions!$E$31/30,1))*Assumptions!$B$31/100,0)</f>
      </c>
      <c r="P122">
        <f>K122+L122+M122+N122+O122</f>
      </c>
    </row>
    <row r="123" spans="1:16" x14ac:dyDescent="0.25">
      <c r="A123">
        <v>122</v>
      </c>
      <c r="B123">
        <v>11</v>
      </c>
      <c r="C123">
        <f>Assumptions!$B$5*Assumptions!$B$32*Assumptions!$B$6*D123</f>
      </c>
      <c r="D123">
        <f>IF(A123&lt;=3,Assumptions!$B$21,IF(A123&lt;=6,Assumptions!$B$22,IF(A123&lt;=12,Assumptions!$B$23,Assumptions!$B$24)))/100</f>
      </c>
      <c r="E123">
        <f>Assumptions!$B$5*Assumptions!$B$33*Assumptions!$B$6*D123</f>
      </c>
      <c r="F123">
        <f>Assumptions!$B$5*Assumptions!$B$7*Assumptions!$B$6*D123</f>
      </c>
      <c r="G123">
        <f>Assumptions!$B$8</f>
      </c>
      <c r="H123">
        <f>IF(INDEX(Assumptions!$B$35:$B$47,B123)&lt;&gt;"",INDEX(Assumptions!$B$35:$B$47,B123)/100*Assumptions!$B$2,IF(B123&lt;=Assumptions!$B$17,0,IF(B123&lt;=Assumptions!$B$17+Assumptions!$B$18,Assumptions!$B$19,Assumptions!$B$20)))/12</f>
      </c>
      <c r="I123">
        <f>IF(Assumptions!$B$12="Cash",0,IF(A123&lt;=Assumptions!$B$15,Monthly!$S$1,0))</f>
      </c>
      <c r="J123">
        <f>E123-F123-G123-H123-I123</f>
      </c>
      <c r="K123">
        <f>IF(AND(A123-CEILING(Assumptions!$E$27/30,1)&gt;=1,A123-CEILING(Assumptions!$E$27/30,1)&lt;=156),INDEX($E$2:$E$157,A123-CEILING(Assumptions!$E$27/30,1))*Assumptions!$B$27/100,0)</f>
      </c>
      <c r="L123">
        <f>IF(AND(A123-CEILING(Assumptions!$E$28/30,1)&gt;=1,A123-CEILING(Assumptions!$E$28/30,1)&lt;=156),INDEX($E$2:$E$157,A123-CEILING(Assumptions!$E$28/30,1))*Assumptions!$B$28/100,0)</f>
      </c>
      <c r="M123">
        <f>IF(AND(A123-CEILING(Assumptions!$E$29/30,1)&gt;=1,A123-CEILING(Assumptions!$E$29/30,1)&lt;=156),INDEX($E$2:$E$157,A123-CEILING(Assumptions!$E$29/30,1))*Assumptions!$B$29/100,0)</f>
      </c>
      <c r="N123">
        <f>IF(AND(A123-CEILING(Assumptions!$E$30/30,1)&gt;=1,A123-CEILING(Assumptions!$E$30/30,1)&lt;=156),INDEX($E$2:$E$157,A123-CEILING(Assumptions!$E$30/30,1))*Assumptions!$B$30/100,0)</f>
      </c>
      <c r="O123">
        <f>IF(AND(A123-CEILING(Assumptions!$E$31/30,1)&gt;=1,A123-CEILING(Assumptions!$E$31/30,1)&lt;=156),INDEX($E$2:$E$157,A123-CEILING(Assumptions!$E$31/30,1))*Assumptions!$B$31/100,0)</f>
      </c>
      <c r="P123">
        <f>K123+L123+M123+N123+O123</f>
      </c>
    </row>
    <row r="124" spans="1:16" x14ac:dyDescent="0.25">
      <c r="A124">
        <v>123</v>
      </c>
      <c r="B124">
        <v>11</v>
      </c>
      <c r="C124">
        <f>Assumptions!$B$5*Assumptions!$B$32*Assumptions!$B$6*D124</f>
      </c>
      <c r="D124">
        <f>IF(A124&lt;=3,Assumptions!$B$21,IF(A124&lt;=6,Assumptions!$B$22,IF(A124&lt;=12,Assumptions!$B$23,Assumptions!$B$24)))/100</f>
      </c>
      <c r="E124">
        <f>Assumptions!$B$5*Assumptions!$B$33*Assumptions!$B$6*D124</f>
      </c>
      <c r="F124">
        <f>Assumptions!$B$5*Assumptions!$B$7*Assumptions!$B$6*D124</f>
      </c>
      <c r="G124">
        <f>Assumptions!$B$8</f>
      </c>
      <c r="H124">
        <f>IF(INDEX(Assumptions!$B$35:$B$47,B124)&lt;&gt;"",INDEX(Assumptions!$B$35:$B$47,B124)/100*Assumptions!$B$2,IF(B124&lt;=Assumptions!$B$17,0,IF(B124&lt;=Assumptions!$B$17+Assumptions!$B$18,Assumptions!$B$19,Assumptions!$B$20)))/12</f>
      </c>
      <c r="I124">
        <f>IF(Assumptions!$B$12="Cash",0,IF(A124&lt;=Assumptions!$B$15,Monthly!$S$1,0))</f>
      </c>
      <c r="J124">
        <f>E124-F124-G124-H124-I124</f>
      </c>
      <c r="K124">
        <f>IF(AND(A124-CEILING(Assumptions!$E$27/30,1)&gt;=1,A124-CEILING(Assumptions!$E$27/30,1)&lt;=156),INDEX($E$2:$E$157,A124-CEILING(Assumptions!$E$27/30,1))*Assumptions!$B$27/100,0)</f>
      </c>
      <c r="L124">
        <f>IF(AND(A124-CEILING(Assumptions!$E$28/30,1)&gt;=1,A124-CEILING(Assumptions!$E$28/30,1)&lt;=156),INDEX($E$2:$E$157,A124-CEILING(Assumptions!$E$28/30,1))*Assumptions!$B$28/100,0)</f>
      </c>
      <c r="M124">
        <f>IF(AND(A124-CEILING(Assumptions!$E$29/30,1)&gt;=1,A124-CEILING(Assumptions!$E$29/30,1)&lt;=156),INDEX($E$2:$E$157,A124-CEILING(Assumptions!$E$29/30,1))*Assumptions!$B$29/100,0)</f>
      </c>
      <c r="N124">
        <f>IF(AND(A124-CEILING(Assumptions!$E$30/30,1)&gt;=1,A124-CEILING(Assumptions!$E$30/30,1)&lt;=156),INDEX($E$2:$E$157,A124-CEILING(Assumptions!$E$30/30,1))*Assumptions!$B$30/100,0)</f>
      </c>
      <c r="O124">
        <f>IF(AND(A124-CEILING(Assumptions!$E$31/30,1)&gt;=1,A124-CEILING(Assumptions!$E$31/30,1)&lt;=156),INDEX($E$2:$E$157,A124-CEILING(Assumptions!$E$31/30,1))*Assumptions!$B$31/100,0)</f>
      </c>
      <c r="P124">
        <f>K124+L124+M124+N124+O124</f>
      </c>
    </row>
    <row r="125" spans="1:16" x14ac:dyDescent="0.25">
      <c r="A125">
        <v>124</v>
      </c>
      <c r="B125">
        <v>11</v>
      </c>
      <c r="C125">
        <f>Assumptions!$B$5*Assumptions!$B$32*Assumptions!$B$6*D125</f>
      </c>
      <c r="D125">
        <f>IF(A125&lt;=3,Assumptions!$B$21,IF(A125&lt;=6,Assumptions!$B$22,IF(A125&lt;=12,Assumptions!$B$23,Assumptions!$B$24)))/100</f>
      </c>
      <c r="E125">
        <f>Assumptions!$B$5*Assumptions!$B$33*Assumptions!$B$6*D125</f>
      </c>
      <c r="F125">
        <f>Assumptions!$B$5*Assumptions!$B$7*Assumptions!$B$6*D125</f>
      </c>
      <c r="G125">
        <f>Assumptions!$B$8</f>
      </c>
      <c r="H125">
        <f>IF(INDEX(Assumptions!$B$35:$B$47,B125)&lt;&gt;"",INDEX(Assumptions!$B$35:$B$47,B125)/100*Assumptions!$B$2,IF(B125&lt;=Assumptions!$B$17,0,IF(B125&lt;=Assumptions!$B$17+Assumptions!$B$18,Assumptions!$B$19,Assumptions!$B$20)))/12</f>
      </c>
      <c r="I125">
        <f>IF(Assumptions!$B$12="Cash",0,IF(A125&lt;=Assumptions!$B$15,Monthly!$S$1,0))</f>
      </c>
      <c r="J125">
        <f>E125-F125-G125-H125-I125</f>
      </c>
      <c r="K125">
        <f>IF(AND(A125-CEILING(Assumptions!$E$27/30,1)&gt;=1,A125-CEILING(Assumptions!$E$27/30,1)&lt;=156),INDEX($E$2:$E$157,A125-CEILING(Assumptions!$E$27/30,1))*Assumptions!$B$27/100,0)</f>
      </c>
      <c r="L125">
        <f>IF(AND(A125-CEILING(Assumptions!$E$28/30,1)&gt;=1,A125-CEILING(Assumptions!$E$28/30,1)&lt;=156),INDEX($E$2:$E$157,A125-CEILING(Assumptions!$E$28/30,1))*Assumptions!$B$28/100,0)</f>
      </c>
      <c r="M125">
        <f>IF(AND(A125-CEILING(Assumptions!$E$29/30,1)&gt;=1,A125-CEILING(Assumptions!$E$29/30,1)&lt;=156),INDEX($E$2:$E$157,A125-CEILING(Assumptions!$E$29/30,1))*Assumptions!$B$29/100,0)</f>
      </c>
      <c r="N125">
        <f>IF(AND(A125-CEILING(Assumptions!$E$30/30,1)&gt;=1,A125-CEILING(Assumptions!$E$30/30,1)&lt;=156),INDEX($E$2:$E$157,A125-CEILING(Assumptions!$E$30/30,1))*Assumptions!$B$30/100,0)</f>
      </c>
      <c r="O125">
        <f>IF(AND(A125-CEILING(Assumptions!$E$31/30,1)&gt;=1,A125-CEILING(Assumptions!$E$31/30,1)&lt;=156),INDEX($E$2:$E$157,A125-CEILING(Assumptions!$E$31/30,1))*Assumptions!$B$31/100,0)</f>
      </c>
      <c r="P125">
        <f>K125+L125+M125+N125+O125</f>
      </c>
    </row>
    <row r="126" spans="1:16" x14ac:dyDescent="0.25">
      <c r="A126">
        <v>125</v>
      </c>
      <c r="B126">
        <v>11</v>
      </c>
      <c r="C126">
        <f>Assumptions!$B$5*Assumptions!$B$32*Assumptions!$B$6*D126</f>
      </c>
      <c r="D126">
        <f>IF(A126&lt;=3,Assumptions!$B$21,IF(A126&lt;=6,Assumptions!$B$22,IF(A126&lt;=12,Assumptions!$B$23,Assumptions!$B$24)))/100</f>
      </c>
      <c r="E126">
        <f>Assumptions!$B$5*Assumptions!$B$33*Assumptions!$B$6*D126</f>
      </c>
      <c r="F126">
        <f>Assumptions!$B$5*Assumptions!$B$7*Assumptions!$B$6*D126</f>
      </c>
      <c r="G126">
        <f>Assumptions!$B$8</f>
      </c>
      <c r="H126">
        <f>IF(INDEX(Assumptions!$B$35:$B$47,B126)&lt;&gt;"",INDEX(Assumptions!$B$35:$B$47,B126)/100*Assumptions!$B$2,IF(B126&lt;=Assumptions!$B$17,0,IF(B126&lt;=Assumptions!$B$17+Assumptions!$B$18,Assumptions!$B$19,Assumptions!$B$20)))/12</f>
      </c>
      <c r="I126">
        <f>IF(Assumptions!$B$12="Cash",0,IF(A126&lt;=Assumptions!$B$15,Monthly!$S$1,0))</f>
      </c>
      <c r="J126">
        <f>E126-F126-G126-H126-I126</f>
      </c>
      <c r="K126">
        <f>IF(AND(A126-CEILING(Assumptions!$E$27/30,1)&gt;=1,A126-CEILING(Assumptions!$E$27/30,1)&lt;=156),INDEX($E$2:$E$157,A126-CEILING(Assumptions!$E$27/30,1))*Assumptions!$B$27/100,0)</f>
      </c>
      <c r="L126">
        <f>IF(AND(A126-CEILING(Assumptions!$E$28/30,1)&gt;=1,A126-CEILING(Assumptions!$E$28/30,1)&lt;=156),INDEX($E$2:$E$157,A126-CEILING(Assumptions!$E$28/30,1))*Assumptions!$B$28/100,0)</f>
      </c>
      <c r="M126">
        <f>IF(AND(A126-CEILING(Assumptions!$E$29/30,1)&gt;=1,A126-CEILING(Assumptions!$E$29/30,1)&lt;=156),INDEX($E$2:$E$157,A126-CEILING(Assumptions!$E$29/30,1))*Assumptions!$B$29/100,0)</f>
      </c>
      <c r="N126">
        <f>IF(AND(A126-CEILING(Assumptions!$E$30/30,1)&gt;=1,A126-CEILING(Assumptions!$E$30/30,1)&lt;=156),INDEX($E$2:$E$157,A126-CEILING(Assumptions!$E$30/30,1))*Assumptions!$B$30/100,0)</f>
      </c>
      <c r="O126">
        <f>IF(AND(A126-CEILING(Assumptions!$E$31/30,1)&gt;=1,A126-CEILING(Assumptions!$E$31/30,1)&lt;=156),INDEX($E$2:$E$157,A126-CEILING(Assumptions!$E$31/30,1))*Assumptions!$B$31/100,0)</f>
      </c>
      <c r="P126">
        <f>K126+L126+M126+N126+O126</f>
      </c>
    </row>
    <row r="127" spans="1:16" x14ac:dyDescent="0.25">
      <c r="A127">
        <v>126</v>
      </c>
      <c r="B127">
        <v>11</v>
      </c>
      <c r="C127">
        <f>Assumptions!$B$5*Assumptions!$B$32*Assumptions!$B$6*D127</f>
      </c>
      <c r="D127">
        <f>IF(A127&lt;=3,Assumptions!$B$21,IF(A127&lt;=6,Assumptions!$B$22,IF(A127&lt;=12,Assumptions!$B$23,Assumptions!$B$24)))/100</f>
      </c>
      <c r="E127">
        <f>Assumptions!$B$5*Assumptions!$B$33*Assumptions!$B$6*D127</f>
      </c>
      <c r="F127">
        <f>Assumptions!$B$5*Assumptions!$B$7*Assumptions!$B$6*D127</f>
      </c>
      <c r="G127">
        <f>Assumptions!$B$8</f>
      </c>
      <c r="H127">
        <f>IF(INDEX(Assumptions!$B$35:$B$47,B127)&lt;&gt;"",INDEX(Assumptions!$B$35:$B$47,B127)/100*Assumptions!$B$2,IF(B127&lt;=Assumptions!$B$17,0,IF(B127&lt;=Assumptions!$B$17+Assumptions!$B$18,Assumptions!$B$19,Assumptions!$B$20)))/12</f>
      </c>
      <c r="I127">
        <f>IF(Assumptions!$B$12="Cash",0,IF(A127&lt;=Assumptions!$B$15,Monthly!$S$1,0))</f>
      </c>
      <c r="J127">
        <f>E127-F127-G127-H127-I127</f>
      </c>
      <c r="K127">
        <f>IF(AND(A127-CEILING(Assumptions!$E$27/30,1)&gt;=1,A127-CEILING(Assumptions!$E$27/30,1)&lt;=156),INDEX($E$2:$E$157,A127-CEILING(Assumptions!$E$27/30,1))*Assumptions!$B$27/100,0)</f>
      </c>
      <c r="L127">
        <f>IF(AND(A127-CEILING(Assumptions!$E$28/30,1)&gt;=1,A127-CEILING(Assumptions!$E$28/30,1)&lt;=156),INDEX($E$2:$E$157,A127-CEILING(Assumptions!$E$28/30,1))*Assumptions!$B$28/100,0)</f>
      </c>
      <c r="M127">
        <f>IF(AND(A127-CEILING(Assumptions!$E$29/30,1)&gt;=1,A127-CEILING(Assumptions!$E$29/30,1)&lt;=156),INDEX($E$2:$E$157,A127-CEILING(Assumptions!$E$29/30,1))*Assumptions!$B$29/100,0)</f>
      </c>
      <c r="N127">
        <f>IF(AND(A127-CEILING(Assumptions!$E$30/30,1)&gt;=1,A127-CEILING(Assumptions!$E$30/30,1)&lt;=156),INDEX($E$2:$E$157,A127-CEILING(Assumptions!$E$30/30,1))*Assumptions!$B$30/100,0)</f>
      </c>
      <c r="O127">
        <f>IF(AND(A127-CEILING(Assumptions!$E$31/30,1)&gt;=1,A127-CEILING(Assumptions!$E$31/30,1)&lt;=156),INDEX($E$2:$E$157,A127-CEILING(Assumptions!$E$31/30,1))*Assumptions!$B$31/100,0)</f>
      </c>
      <c r="P127">
        <f>K127+L127+M127+N127+O127</f>
      </c>
    </row>
    <row r="128" spans="1:16" x14ac:dyDescent="0.25">
      <c r="A128">
        <v>127</v>
      </c>
      <c r="B128">
        <v>11</v>
      </c>
      <c r="C128">
        <f>Assumptions!$B$5*Assumptions!$B$32*Assumptions!$B$6*D128</f>
      </c>
      <c r="D128">
        <f>IF(A128&lt;=3,Assumptions!$B$21,IF(A128&lt;=6,Assumptions!$B$22,IF(A128&lt;=12,Assumptions!$B$23,Assumptions!$B$24)))/100</f>
      </c>
      <c r="E128">
        <f>Assumptions!$B$5*Assumptions!$B$33*Assumptions!$B$6*D128</f>
      </c>
      <c r="F128">
        <f>Assumptions!$B$5*Assumptions!$B$7*Assumptions!$B$6*D128</f>
      </c>
      <c r="G128">
        <f>Assumptions!$B$8</f>
      </c>
      <c r="H128">
        <f>IF(INDEX(Assumptions!$B$35:$B$47,B128)&lt;&gt;"",INDEX(Assumptions!$B$35:$B$47,B128)/100*Assumptions!$B$2,IF(B128&lt;=Assumptions!$B$17,0,IF(B128&lt;=Assumptions!$B$17+Assumptions!$B$18,Assumptions!$B$19,Assumptions!$B$20)))/12</f>
      </c>
      <c r="I128">
        <f>IF(Assumptions!$B$12="Cash",0,IF(A128&lt;=Assumptions!$B$15,Monthly!$S$1,0))</f>
      </c>
      <c r="J128">
        <f>E128-F128-G128-H128-I128</f>
      </c>
      <c r="K128">
        <f>IF(AND(A128-CEILING(Assumptions!$E$27/30,1)&gt;=1,A128-CEILING(Assumptions!$E$27/30,1)&lt;=156),INDEX($E$2:$E$157,A128-CEILING(Assumptions!$E$27/30,1))*Assumptions!$B$27/100,0)</f>
      </c>
      <c r="L128">
        <f>IF(AND(A128-CEILING(Assumptions!$E$28/30,1)&gt;=1,A128-CEILING(Assumptions!$E$28/30,1)&lt;=156),INDEX($E$2:$E$157,A128-CEILING(Assumptions!$E$28/30,1))*Assumptions!$B$28/100,0)</f>
      </c>
      <c r="M128">
        <f>IF(AND(A128-CEILING(Assumptions!$E$29/30,1)&gt;=1,A128-CEILING(Assumptions!$E$29/30,1)&lt;=156),INDEX($E$2:$E$157,A128-CEILING(Assumptions!$E$29/30,1))*Assumptions!$B$29/100,0)</f>
      </c>
      <c r="N128">
        <f>IF(AND(A128-CEILING(Assumptions!$E$30/30,1)&gt;=1,A128-CEILING(Assumptions!$E$30/30,1)&lt;=156),INDEX($E$2:$E$157,A128-CEILING(Assumptions!$E$30/30,1))*Assumptions!$B$30/100,0)</f>
      </c>
      <c r="O128">
        <f>IF(AND(A128-CEILING(Assumptions!$E$31/30,1)&gt;=1,A128-CEILING(Assumptions!$E$31/30,1)&lt;=156),INDEX($E$2:$E$157,A128-CEILING(Assumptions!$E$31/30,1))*Assumptions!$B$31/100,0)</f>
      </c>
      <c r="P128">
        <f>K128+L128+M128+N128+O128</f>
      </c>
    </row>
    <row r="129" spans="1:16" x14ac:dyDescent="0.25">
      <c r="A129">
        <v>128</v>
      </c>
      <c r="B129">
        <v>11</v>
      </c>
      <c r="C129">
        <f>Assumptions!$B$5*Assumptions!$B$32*Assumptions!$B$6*D129</f>
      </c>
      <c r="D129">
        <f>IF(A129&lt;=3,Assumptions!$B$21,IF(A129&lt;=6,Assumptions!$B$22,IF(A129&lt;=12,Assumptions!$B$23,Assumptions!$B$24)))/100</f>
      </c>
      <c r="E129">
        <f>Assumptions!$B$5*Assumptions!$B$33*Assumptions!$B$6*D129</f>
      </c>
      <c r="F129">
        <f>Assumptions!$B$5*Assumptions!$B$7*Assumptions!$B$6*D129</f>
      </c>
      <c r="G129">
        <f>Assumptions!$B$8</f>
      </c>
      <c r="H129">
        <f>IF(INDEX(Assumptions!$B$35:$B$47,B129)&lt;&gt;"",INDEX(Assumptions!$B$35:$B$47,B129)/100*Assumptions!$B$2,IF(B129&lt;=Assumptions!$B$17,0,IF(B129&lt;=Assumptions!$B$17+Assumptions!$B$18,Assumptions!$B$19,Assumptions!$B$20)))/12</f>
      </c>
      <c r="I129">
        <f>IF(Assumptions!$B$12="Cash",0,IF(A129&lt;=Assumptions!$B$15,Monthly!$S$1,0))</f>
      </c>
      <c r="J129">
        <f>E129-F129-G129-H129-I129</f>
      </c>
      <c r="K129">
        <f>IF(AND(A129-CEILING(Assumptions!$E$27/30,1)&gt;=1,A129-CEILING(Assumptions!$E$27/30,1)&lt;=156),INDEX($E$2:$E$157,A129-CEILING(Assumptions!$E$27/30,1))*Assumptions!$B$27/100,0)</f>
      </c>
      <c r="L129">
        <f>IF(AND(A129-CEILING(Assumptions!$E$28/30,1)&gt;=1,A129-CEILING(Assumptions!$E$28/30,1)&lt;=156),INDEX($E$2:$E$157,A129-CEILING(Assumptions!$E$28/30,1))*Assumptions!$B$28/100,0)</f>
      </c>
      <c r="M129">
        <f>IF(AND(A129-CEILING(Assumptions!$E$29/30,1)&gt;=1,A129-CEILING(Assumptions!$E$29/30,1)&lt;=156),INDEX($E$2:$E$157,A129-CEILING(Assumptions!$E$29/30,1))*Assumptions!$B$29/100,0)</f>
      </c>
      <c r="N129">
        <f>IF(AND(A129-CEILING(Assumptions!$E$30/30,1)&gt;=1,A129-CEILING(Assumptions!$E$30/30,1)&lt;=156),INDEX($E$2:$E$157,A129-CEILING(Assumptions!$E$30/30,1))*Assumptions!$B$30/100,0)</f>
      </c>
      <c r="O129">
        <f>IF(AND(A129-CEILING(Assumptions!$E$31/30,1)&gt;=1,A129-CEILING(Assumptions!$E$31/30,1)&lt;=156),INDEX($E$2:$E$157,A129-CEILING(Assumptions!$E$31/30,1))*Assumptions!$B$31/100,0)</f>
      </c>
      <c r="P129">
        <f>K129+L129+M129+N129+O129</f>
      </c>
    </row>
    <row r="130" spans="1:16" x14ac:dyDescent="0.25">
      <c r="A130">
        <v>129</v>
      </c>
      <c r="B130">
        <v>11</v>
      </c>
      <c r="C130">
        <f>Assumptions!$B$5*Assumptions!$B$32*Assumptions!$B$6*D130</f>
      </c>
      <c r="D130">
        <f>IF(A130&lt;=3,Assumptions!$B$21,IF(A130&lt;=6,Assumptions!$B$22,IF(A130&lt;=12,Assumptions!$B$23,Assumptions!$B$24)))/100</f>
      </c>
      <c r="E130">
        <f>Assumptions!$B$5*Assumptions!$B$33*Assumptions!$B$6*D130</f>
      </c>
      <c r="F130">
        <f>Assumptions!$B$5*Assumptions!$B$7*Assumptions!$B$6*D130</f>
      </c>
      <c r="G130">
        <f>Assumptions!$B$8</f>
      </c>
      <c r="H130">
        <f>IF(INDEX(Assumptions!$B$35:$B$47,B130)&lt;&gt;"",INDEX(Assumptions!$B$35:$B$47,B130)/100*Assumptions!$B$2,IF(B130&lt;=Assumptions!$B$17,0,IF(B130&lt;=Assumptions!$B$17+Assumptions!$B$18,Assumptions!$B$19,Assumptions!$B$20)))/12</f>
      </c>
      <c r="I130">
        <f>IF(Assumptions!$B$12="Cash",0,IF(A130&lt;=Assumptions!$B$15,Monthly!$S$1,0))</f>
      </c>
      <c r="J130">
        <f>E130-F130-G130-H130-I130</f>
      </c>
      <c r="K130">
        <f>IF(AND(A130-CEILING(Assumptions!$E$27/30,1)&gt;=1,A130-CEILING(Assumptions!$E$27/30,1)&lt;=156),INDEX($E$2:$E$157,A130-CEILING(Assumptions!$E$27/30,1))*Assumptions!$B$27/100,0)</f>
      </c>
      <c r="L130">
        <f>IF(AND(A130-CEILING(Assumptions!$E$28/30,1)&gt;=1,A130-CEILING(Assumptions!$E$28/30,1)&lt;=156),INDEX($E$2:$E$157,A130-CEILING(Assumptions!$E$28/30,1))*Assumptions!$B$28/100,0)</f>
      </c>
      <c r="M130">
        <f>IF(AND(A130-CEILING(Assumptions!$E$29/30,1)&gt;=1,A130-CEILING(Assumptions!$E$29/30,1)&lt;=156),INDEX($E$2:$E$157,A130-CEILING(Assumptions!$E$29/30,1))*Assumptions!$B$29/100,0)</f>
      </c>
      <c r="N130">
        <f>IF(AND(A130-CEILING(Assumptions!$E$30/30,1)&gt;=1,A130-CEILING(Assumptions!$E$30/30,1)&lt;=156),INDEX($E$2:$E$157,A130-CEILING(Assumptions!$E$30/30,1))*Assumptions!$B$30/100,0)</f>
      </c>
      <c r="O130">
        <f>IF(AND(A130-CEILING(Assumptions!$E$31/30,1)&gt;=1,A130-CEILING(Assumptions!$E$31/30,1)&lt;=156),INDEX($E$2:$E$157,A130-CEILING(Assumptions!$E$31/30,1))*Assumptions!$B$31/100,0)</f>
      </c>
      <c r="P130">
        <f>K130+L130+M130+N130+O130</f>
      </c>
    </row>
    <row r="131" spans="1:16" x14ac:dyDescent="0.25">
      <c r="A131">
        <v>130</v>
      </c>
      <c r="B131">
        <v>11</v>
      </c>
      <c r="C131">
        <f>Assumptions!$B$5*Assumptions!$B$32*Assumptions!$B$6*D131</f>
      </c>
      <c r="D131">
        <f>IF(A131&lt;=3,Assumptions!$B$21,IF(A131&lt;=6,Assumptions!$B$22,IF(A131&lt;=12,Assumptions!$B$23,Assumptions!$B$24)))/100</f>
      </c>
      <c r="E131">
        <f>Assumptions!$B$5*Assumptions!$B$33*Assumptions!$B$6*D131</f>
      </c>
      <c r="F131">
        <f>Assumptions!$B$5*Assumptions!$B$7*Assumptions!$B$6*D131</f>
      </c>
      <c r="G131">
        <f>Assumptions!$B$8</f>
      </c>
      <c r="H131">
        <f>IF(INDEX(Assumptions!$B$35:$B$47,B131)&lt;&gt;"",INDEX(Assumptions!$B$35:$B$47,B131)/100*Assumptions!$B$2,IF(B131&lt;=Assumptions!$B$17,0,IF(B131&lt;=Assumptions!$B$17+Assumptions!$B$18,Assumptions!$B$19,Assumptions!$B$20)))/12</f>
      </c>
      <c r="I131">
        <f>IF(Assumptions!$B$12="Cash",0,IF(A131&lt;=Assumptions!$B$15,Monthly!$S$1,0))</f>
      </c>
      <c r="J131">
        <f>E131-F131-G131-H131-I131</f>
      </c>
      <c r="K131">
        <f>IF(AND(A131-CEILING(Assumptions!$E$27/30,1)&gt;=1,A131-CEILING(Assumptions!$E$27/30,1)&lt;=156),INDEX($E$2:$E$157,A131-CEILING(Assumptions!$E$27/30,1))*Assumptions!$B$27/100,0)</f>
      </c>
      <c r="L131">
        <f>IF(AND(A131-CEILING(Assumptions!$E$28/30,1)&gt;=1,A131-CEILING(Assumptions!$E$28/30,1)&lt;=156),INDEX($E$2:$E$157,A131-CEILING(Assumptions!$E$28/30,1))*Assumptions!$B$28/100,0)</f>
      </c>
      <c r="M131">
        <f>IF(AND(A131-CEILING(Assumptions!$E$29/30,1)&gt;=1,A131-CEILING(Assumptions!$E$29/30,1)&lt;=156),INDEX($E$2:$E$157,A131-CEILING(Assumptions!$E$29/30,1))*Assumptions!$B$29/100,0)</f>
      </c>
      <c r="N131">
        <f>IF(AND(A131-CEILING(Assumptions!$E$30/30,1)&gt;=1,A131-CEILING(Assumptions!$E$30/30,1)&lt;=156),INDEX($E$2:$E$157,A131-CEILING(Assumptions!$E$30/30,1))*Assumptions!$B$30/100,0)</f>
      </c>
      <c r="O131">
        <f>IF(AND(A131-CEILING(Assumptions!$E$31/30,1)&gt;=1,A131-CEILING(Assumptions!$E$31/30,1)&lt;=156),INDEX($E$2:$E$157,A131-CEILING(Assumptions!$E$31/30,1))*Assumptions!$B$31/100,0)</f>
      </c>
      <c r="P131">
        <f>K131+L131+M131+N131+O131</f>
      </c>
    </row>
    <row r="132" spans="1:16" x14ac:dyDescent="0.25">
      <c r="A132">
        <v>131</v>
      </c>
      <c r="B132">
        <v>11</v>
      </c>
      <c r="C132">
        <f>Assumptions!$B$5*Assumptions!$B$32*Assumptions!$B$6*D132</f>
      </c>
      <c r="D132">
        <f>IF(A132&lt;=3,Assumptions!$B$21,IF(A132&lt;=6,Assumptions!$B$22,IF(A132&lt;=12,Assumptions!$B$23,Assumptions!$B$24)))/100</f>
      </c>
      <c r="E132">
        <f>Assumptions!$B$5*Assumptions!$B$33*Assumptions!$B$6*D132</f>
      </c>
      <c r="F132">
        <f>Assumptions!$B$5*Assumptions!$B$7*Assumptions!$B$6*D132</f>
      </c>
      <c r="G132">
        <f>Assumptions!$B$8</f>
      </c>
      <c r="H132">
        <f>IF(INDEX(Assumptions!$B$35:$B$47,B132)&lt;&gt;"",INDEX(Assumptions!$B$35:$B$47,B132)/100*Assumptions!$B$2,IF(B132&lt;=Assumptions!$B$17,0,IF(B132&lt;=Assumptions!$B$17+Assumptions!$B$18,Assumptions!$B$19,Assumptions!$B$20)))/12</f>
      </c>
      <c r="I132">
        <f>IF(Assumptions!$B$12="Cash",0,IF(A132&lt;=Assumptions!$B$15,Monthly!$S$1,0))</f>
      </c>
      <c r="J132">
        <f>E132-F132-G132-H132-I132</f>
      </c>
      <c r="K132">
        <f>IF(AND(A132-CEILING(Assumptions!$E$27/30,1)&gt;=1,A132-CEILING(Assumptions!$E$27/30,1)&lt;=156),INDEX($E$2:$E$157,A132-CEILING(Assumptions!$E$27/30,1))*Assumptions!$B$27/100,0)</f>
      </c>
      <c r="L132">
        <f>IF(AND(A132-CEILING(Assumptions!$E$28/30,1)&gt;=1,A132-CEILING(Assumptions!$E$28/30,1)&lt;=156),INDEX($E$2:$E$157,A132-CEILING(Assumptions!$E$28/30,1))*Assumptions!$B$28/100,0)</f>
      </c>
      <c r="M132">
        <f>IF(AND(A132-CEILING(Assumptions!$E$29/30,1)&gt;=1,A132-CEILING(Assumptions!$E$29/30,1)&lt;=156),INDEX($E$2:$E$157,A132-CEILING(Assumptions!$E$29/30,1))*Assumptions!$B$29/100,0)</f>
      </c>
      <c r="N132">
        <f>IF(AND(A132-CEILING(Assumptions!$E$30/30,1)&gt;=1,A132-CEILING(Assumptions!$E$30/30,1)&lt;=156),INDEX($E$2:$E$157,A132-CEILING(Assumptions!$E$30/30,1))*Assumptions!$B$30/100,0)</f>
      </c>
      <c r="O132">
        <f>IF(AND(A132-CEILING(Assumptions!$E$31/30,1)&gt;=1,A132-CEILING(Assumptions!$E$31/30,1)&lt;=156),INDEX($E$2:$E$157,A132-CEILING(Assumptions!$E$31/30,1))*Assumptions!$B$31/100,0)</f>
      </c>
      <c r="P132">
        <f>K132+L132+M132+N132+O132</f>
      </c>
    </row>
    <row r="133" spans="1:16" x14ac:dyDescent="0.25">
      <c r="A133">
        <v>132</v>
      </c>
      <c r="B133">
        <v>11</v>
      </c>
      <c r="C133">
        <f>Assumptions!$B$5*Assumptions!$B$32*Assumptions!$B$6*D133</f>
      </c>
      <c r="D133">
        <f>IF(A133&lt;=3,Assumptions!$B$21,IF(A133&lt;=6,Assumptions!$B$22,IF(A133&lt;=12,Assumptions!$B$23,Assumptions!$B$24)))/100</f>
      </c>
      <c r="E133">
        <f>Assumptions!$B$5*Assumptions!$B$33*Assumptions!$B$6*D133</f>
      </c>
      <c r="F133">
        <f>Assumptions!$B$5*Assumptions!$B$7*Assumptions!$B$6*D133</f>
      </c>
      <c r="G133">
        <f>Assumptions!$B$8</f>
      </c>
      <c r="H133">
        <f>IF(INDEX(Assumptions!$B$35:$B$47,B133)&lt;&gt;"",INDEX(Assumptions!$B$35:$B$47,B133)/100*Assumptions!$B$2,IF(B133&lt;=Assumptions!$B$17,0,IF(B133&lt;=Assumptions!$B$17+Assumptions!$B$18,Assumptions!$B$19,Assumptions!$B$20)))/12</f>
      </c>
      <c r="I133">
        <f>IF(Assumptions!$B$12="Cash",0,IF(A133&lt;=Assumptions!$B$15,Monthly!$S$1,0))</f>
      </c>
      <c r="J133">
        <f>E133-F133-G133-H133-I133</f>
      </c>
      <c r="K133">
        <f>IF(AND(A133-CEILING(Assumptions!$E$27/30,1)&gt;=1,A133-CEILING(Assumptions!$E$27/30,1)&lt;=156),INDEX($E$2:$E$157,A133-CEILING(Assumptions!$E$27/30,1))*Assumptions!$B$27/100,0)</f>
      </c>
      <c r="L133">
        <f>IF(AND(A133-CEILING(Assumptions!$E$28/30,1)&gt;=1,A133-CEILING(Assumptions!$E$28/30,1)&lt;=156),INDEX($E$2:$E$157,A133-CEILING(Assumptions!$E$28/30,1))*Assumptions!$B$28/100,0)</f>
      </c>
      <c r="M133">
        <f>IF(AND(A133-CEILING(Assumptions!$E$29/30,1)&gt;=1,A133-CEILING(Assumptions!$E$29/30,1)&lt;=156),INDEX($E$2:$E$157,A133-CEILING(Assumptions!$E$29/30,1))*Assumptions!$B$29/100,0)</f>
      </c>
      <c r="N133">
        <f>IF(AND(A133-CEILING(Assumptions!$E$30/30,1)&gt;=1,A133-CEILING(Assumptions!$E$30/30,1)&lt;=156),INDEX($E$2:$E$157,A133-CEILING(Assumptions!$E$30/30,1))*Assumptions!$B$30/100,0)</f>
      </c>
      <c r="O133">
        <f>IF(AND(A133-CEILING(Assumptions!$E$31/30,1)&gt;=1,A133-CEILING(Assumptions!$E$31/30,1)&lt;=156),INDEX($E$2:$E$157,A133-CEILING(Assumptions!$E$31/30,1))*Assumptions!$B$31/100,0)</f>
      </c>
      <c r="P133">
        <f>K133+L133+M133+N133+O133</f>
      </c>
    </row>
    <row r="134" spans="1:16" x14ac:dyDescent="0.25">
      <c r="A134">
        <v>133</v>
      </c>
      <c r="B134">
        <v>12</v>
      </c>
      <c r="C134">
        <f>Assumptions!$B$5*Assumptions!$B$32*Assumptions!$B$6*D134</f>
      </c>
      <c r="D134">
        <f>IF(A134&lt;=3,Assumptions!$B$21,IF(A134&lt;=6,Assumptions!$B$22,IF(A134&lt;=12,Assumptions!$B$23,Assumptions!$B$24)))/100</f>
      </c>
      <c r="E134">
        <f>Assumptions!$B$5*Assumptions!$B$33*Assumptions!$B$6*D134</f>
      </c>
      <c r="F134">
        <f>Assumptions!$B$5*Assumptions!$B$7*Assumptions!$B$6*D134</f>
      </c>
      <c r="G134">
        <f>Assumptions!$B$8</f>
      </c>
      <c r="H134">
        <f>IF(INDEX(Assumptions!$B$35:$B$47,B134)&lt;&gt;"",INDEX(Assumptions!$B$35:$B$47,B134)/100*Assumptions!$B$2,IF(B134&lt;=Assumptions!$B$17,0,IF(B134&lt;=Assumptions!$B$17+Assumptions!$B$18,Assumptions!$B$19,Assumptions!$B$20)))/12</f>
      </c>
      <c r="I134">
        <f>IF(Assumptions!$B$12="Cash",0,IF(A134&lt;=Assumptions!$B$15,Monthly!$S$1,0))</f>
      </c>
      <c r="J134">
        <f>E134-F134-G134-H134-I134</f>
      </c>
      <c r="K134">
        <f>IF(AND(A134-CEILING(Assumptions!$E$27/30,1)&gt;=1,A134-CEILING(Assumptions!$E$27/30,1)&lt;=156),INDEX($E$2:$E$157,A134-CEILING(Assumptions!$E$27/30,1))*Assumptions!$B$27/100,0)</f>
      </c>
      <c r="L134">
        <f>IF(AND(A134-CEILING(Assumptions!$E$28/30,1)&gt;=1,A134-CEILING(Assumptions!$E$28/30,1)&lt;=156),INDEX($E$2:$E$157,A134-CEILING(Assumptions!$E$28/30,1))*Assumptions!$B$28/100,0)</f>
      </c>
      <c r="M134">
        <f>IF(AND(A134-CEILING(Assumptions!$E$29/30,1)&gt;=1,A134-CEILING(Assumptions!$E$29/30,1)&lt;=156),INDEX($E$2:$E$157,A134-CEILING(Assumptions!$E$29/30,1))*Assumptions!$B$29/100,0)</f>
      </c>
      <c r="N134">
        <f>IF(AND(A134-CEILING(Assumptions!$E$30/30,1)&gt;=1,A134-CEILING(Assumptions!$E$30/30,1)&lt;=156),INDEX($E$2:$E$157,A134-CEILING(Assumptions!$E$30/30,1))*Assumptions!$B$30/100,0)</f>
      </c>
      <c r="O134">
        <f>IF(AND(A134-CEILING(Assumptions!$E$31/30,1)&gt;=1,A134-CEILING(Assumptions!$E$31/30,1)&lt;=156),INDEX($E$2:$E$157,A134-CEILING(Assumptions!$E$31/30,1))*Assumptions!$B$31/100,0)</f>
      </c>
      <c r="P134">
        <f>K134+L134+M134+N134+O134</f>
      </c>
    </row>
    <row r="135" spans="1:16" x14ac:dyDescent="0.25">
      <c r="A135">
        <v>134</v>
      </c>
      <c r="B135">
        <v>12</v>
      </c>
      <c r="C135">
        <f>Assumptions!$B$5*Assumptions!$B$32*Assumptions!$B$6*D135</f>
      </c>
      <c r="D135">
        <f>IF(A135&lt;=3,Assumptions!$B$21,IF(A135&lt;=6,Assumptions!$B$22,IF(A135&lt;=12,Assumptions!$B$23,Assumptions!$B$24)))/100</f>
      </c>
      <c r="E135">
        <f>Assumptions!$B$5*Assumptions!$B$33*Assumptions!$B$6*D135</f>
      </c>
      <c r="F135">
        <f>Assumptions!$B$5*Assumptions!$B$7*Assumptions!$B$6*D135</f>
      </c>
      <c r="G135">
        <f>Assumptions!$B$8</f>
      </c>
      <c r="H135">
        <f>IF(INDEX(Assumptions!$B$35:$B$47,B135)&lt;&gt;"",INDEX(Assumptions!$B$35:$B$47,B135)/100*Assumptions!$B$2,IF(B135&lt;=Assumptions!$B$17,0,IF(B135&lt;=Assumptions!$B$17+Assumptions!$B$18,Assumptions!$B$19,Assumptions!$B$20)))/12</f>
      </c>
      <c r="I135">
        <f>IF(Assumptions!$B$12="Cash",0,IF(A135&lt;=Assumptions!$B$15,Monthly!$S$1,0))</f>
      </c>
      <c r="J135">
        <f>E135-F135-G135-H135-I135</f>
      </c>
      <c r="K135">
        <f>IF(AND(A135-CEILING(Assumptions!$E$27/30,1)&gt;=1,A135-CEILING(Assumptions!$E$27/30,1)&lt;=156),INDEX($E$2:$E$157,A135-CEILING(Assumptions!$E$27/30,1))*Assumptions!$B$27/100,0)</f>
      </c>
      <c r="L135">
        <f>IF(AND(A135-CEILING(Assumptions!$E$28/30,1)&gt;=1,A135-CEILING(Assumptions!$E$28/30,1)&lt;=156),INDEX($E$2:$E$157,A135-CEILING(Assumptions!$E$28/30,1))*Assumptions!$B$28/100,0)</f>
      </c>
      <c r="M135">
        <f>IF(AND(A135-CEILING(Assumptions!$E$29/30,1)&gt;=1,A135-CEILING(Assumptions!$E$29/30,1)&lt;=156),INDEX($E$2:$E$157,A135-CEILING(Assumptions!$E$29/30,1))*Assumptions!$B$29/100,0)</f>
      </c>
      <c r="N135">
        <f>IF(AND(A135-CEILING(Assumptions!$E$30/30,1)&gt;=1,A135-CEILING(Assumptions!$E$30/30,1)&lt;=156),INDEX($E$2:$E$157,A135-CEILING(Assumptions!$E$30/30,1))*Assumptions!$B$30/100,0)</f>
      </c>
      <c r="O135">
        <f>IF(AND(A135-CEILING(Assumptions!$E$31/30,1)&gt;=1,A135-CEILING(Assumptions!$E$31/30,1)&lt;=156),INDEX($E$2:$E$157,A135-CEILING(Assumptions!$E$31/30,1))*Assumptions!$B$31/100,0)</f>
      </c>
      <c r="P135">
        <f>K135+L135+M135+N135+O135</f>
      </c>
    </row>
    <row r="136" spans="1:16" x14ac:dyDescent="0.25">
      <c r="A136">
        <v>135</v>
      </c>
      <c r="B136">
        <v>12</v>
      </c>
      <c r="C136">
        <f>Assumptions!$B$5*Assumptions!$B$32*Assumptions!$B$6*D136</f>
      </c>
      <c r="D136">
        <f>IF(A136&lt;=3,Assumptions!$B$21,IF(A136&lt;=6,Assumptions!$B$22,IF(A136&lt;=12,Assumptions!$B$23,Assumptions!$B$24)))/100</f>
      </c>
      <c r="E136">
        <f>Assumptions!$B$5*Assumptions!$B$33*Assumptions!$B$6*D136</f>
      </c>
      <c r="F136">
        <f>Assumptions!$B$5*Assumptions!$B$7*Assumptions!$B$6*D136</f>
      </c>
      <c r="G136">
        <f>Assumptions!$B$8</f>
      </c>
      <c r="H136">
        <f>IF(INDEX(Assumptions!$B$35:$B$47,B136)&lt;&gt;"",INDEX(Assumptions!$B$35:$B$47,B136)/100*Assumptions!$B$2,IF(B136&lt;=Assumptions!$B$17,0,IF(B136&lt;=Assumptions!$B$17+Assumptions!$B$18,Assumptions!$B$19,Assumptions!$B$20)))/12</f>
      </c>
      <c r="I136">
        <f>IF(Assumptions!$B$12="Cash",0,IF(A136&lt;=Assumptions!$B$15,Monthly!$S$1,0))</f>
      </c>
      <c r="J136">
        <f>E136-F136-G136-H136-I136</f>
      </c>
      <c r="K136">
        <f>IF(AND(A136-CEILING(Assumptions!$E$27/30,1)&gt;=1,A136-CEILING(Assumptions!$E$27/30,1)&lt;=156),INDEX($E$2:$E$157,A136-CEILING(Assumptions!$E$27/30,1))*Assumptions!$B$27/100,0)</f>
      </c>
      <c r="L136">
        <f>IF(AND(A136-CEILING(Assumptions!$E$28/30,1)&gt;=1,A136-CEILING(Assumptions!$E$28/30,1)&lt;=156),INDEX($E$2:$E$157,A136-CEILING(Assumptions!$E$28/30,1))*Assumptions!$B$28/100,0)</f>
      </c>
      <c r="M136">
        <f>IF(AND(A136-CEILING(Assumptions!$E$29/30,1)&gt;=1,A136-CEILING(Assumptions!$E$29/30,1)&lt;=156),INDEX($E$2:$E$157,A136-CEILING(Assumptions!$E$29/30,1))*Assumptions!$B$29/100,0)</f>
      </c>
      <c r="N136">
        <f>IF(AND(A136-CEILING(Assumptions!$E$30/30,1)&gt;=1,A136-CEILING(Assumptions!$E$30/30,1)&lt;=156),INDEX($E$2:$E$157,A136-CEILING(Assumptions!$E$30/30,1))*Assumptions!$B$30/100,0)</f>
      </c>
      <c r="O136">
        <f>IF(AND(A136-CEILING(Assumptions!$E$31/30,1)&gt;=1,A136-CEILING(Assumptions!$E$31/30,1)&lt;=156),INDEX($E$2:$E$157,A136-CEILING(Assumptions!$E$31/30,1))*Assumptions!$B$31/100,0)</f>
      </c>
      <c r="P136">
        <f>K136+L136+M136+N136+O136</f>
      </c>
    </row>
    <row r="137" spans="1:16" x14ac:dyDescent="0.25">
      <c r="A137">
        <v>136</v>
      </c>
      <c r="B137">
        <v>12</v>
      </c>
      <c r="C137">
        <f>Assumptions!$B$5*Assumptions!$B$32*Assumptions!$B$6*D137</f>
      </c>
      <c r="D137">
        <f>IF(A137&lt;=3,Assumptions!$B$21,IF(A137&lt;=6,Assumptions!$B$22,IF(A137&lt;=12,Assumptions!$B$23,Assumptions!$B$24)))/100</f>
      </c>
      <c r="E137">
        <f>Assumptions!$B$5*Assumptions!$B$33*Assumptions!$B$6*D137</f>
      </c>
      <c r="F137">
        <f>Assumptions!$B$5*Assumptions!$B$7*Assumptions!$B$6*D137</f>
      </c>
      <c r="G137">
        <f>Assumptions!$B$8</f>
      </c>
      <c r="H137">
        <f>IF(INDEX(Assumptions!$B$35:$B$47,B137)&lt;&gt;"",INDEX(Assumptions!$B$35:$B$47,B137)/100*Assumptions!$B$2,IF(B137&lt;=Assumptions!$B$17,0,IF(B137&lt;=Assumptions!$B$17+Assumptions!$B$18,Assumptions!$B$19,Assumptions!$B$20)))/12</f>
      </c>
      <c r="I137">
        <f>IF(Assumptions!$B$12="Cash",0,IF(A137&lt;=Assumptions!$B$15,Monthly!$S$1,0))</f>
      </c>
      <c r="J137">
        <f>E137-F137-G137-H137-I137</f>
      </c>
      <c r="K137">
        <f>IF(AND(A137-CEILING(Assumptions!$E$27/30,1)&gt;=1,A137-CEILING(Assumptions!$E$27/30,1)&lt;=156),INDEX($E$2:$E$157,A137-CEILING(Assumptions!$E$27/30,1))*Assumptions!$B$27/100,0)</f>
      </c>
      <c r="L137">
        <f>IF(AND(A137-CEILING(Assumptions!$E$28/30,1)&gt;=1,A137-CEILING(Assumptions!$E$28/30,1)&lt;=156),INDEX($E$2:$E$157,A137-CEILING(Assumptions!$E$28/30,1))*Assumptions!$B$28/100,0)</f>
      </c>
      <c r="M137">
        <f>IF(AND(A137-CEILING(Assumptions!$E$29/30,1)&gt;=1,A137-CEILING(Assumptions!$E$29/30,1)&lt;=156),INDEX($E$2:$E$157,A137-CEILING(Assumptions!$E$29/30,1))*Assumptions!$B$29/100,0)</f>
      </c>
      <c r="N137">
        <f>IF(AND(A137-CEILING(Assumptions!$E$30/30,1)&gt;=1,A137-CEILING(Assumptions!$E$30/30,1)&lt;=156),INDEX($E$2:$E$157,A137-CEILING(Assumptions!$E$30/30,1))*Assumptions!$B$30/100,0)</f>
      </c>
      <c r="O137">
        <f>IF(AND(A137-CEILING(Assumptions!$E$31/30,1)&gt;=1,A137-CEILING(Assumptions!$E$31/30,1)&lt;=156),INDEX($E$2:$E$157,A137-CEILING(Assumptions!$E$31/30,1))*Assumptions!$B$31/100,0)</f>
      </c>
      <c r="P137">
        <f>K137+L137+M137+N137+O137</f>
      </c>
    </row>
    <row r="138" spans="1:16" x14ac:dyDescent="0.25">
      <c r="A138">
        <v>137</v>
      </c>
      <c r="B138">
        <v>12</v>
      </c>
      <c r="C138">
        <f>Assumptions!$B$5*Assumptions!$B$32*Assumptions!$B$6*D138</f>
      </c>
      <c r="D138">
        <f>IF(A138&lt;=3,Assumptions!$B$21,IF(A138&lt;=6,Assumptions!$B$22,IF(A138&lt;=12,Assumptions!$B$23,Assumptions!$B$24)))/100</f>
      </c>
      <c r="E138">
        <f>Assumptions!$B$5*Assumptions!$B$33*Assumptions!$B$6*D138</f>
      </c>
      <c r="F138">
        <f>Assumptions!$B$5*Assumptions!$B$7*Assumptions!$B$6*D138</f>
      </c>
      <c r="G138">
        <f>Assumptions!$B$8</f>
      </c>
      <c r="H138">
        <f>IF(INDEX(Assumptions!$B$35:$B$47,B138)&lt;&gt;"",INDEX(Assumptions!$B$35:$B$47,B138)/100*Assumptions!$B$2,IF(B138&lt;=Assumptions!$B$17,0,IF(B138&lt;=Assumptions!$B$17+Assumptions!$B$18,Assumptions!$B$19,Assumptions!$B$20)))/12</f>
      </c>
      <c r="I138">
        <f>IF(Assumptions!$B$12="Cash",0,IF(A138&lt;=Assumptions!$B$15,Monthly!$S$1,0))</f>
      </c>
      <c r="J138">
        <f>E138-F138-G138-H138-I138</f>
      </c>
      <c r="K138">
        <f>IF(AND(A138-CEILING(Assumptions!$E$27/30,1)&gt;=1,A138-CEILING(Assumptions!$E$27/30,1)&lt;=156),INDEX($E$2:$E$157,A138-CEILING(Assumptions!$E$27/30,1))*Assumptions!$B$27/100,0)</f>
      </c>
      <c r="L138">
        <f>IF(AND(A138-CEILING(Assumptions!$E$28/30,1)&gt;=1,A138-CEILING(Assumptions!$E$28/30,1)&lt;=156),INDEX($E$2:$E$157,A138-CEILING(Assumptions!$E$28/30,1))*Assumptions!$B$28/100,0)</f>
      </c>
      <c r="M138">
        <f>IF(AND(A138-CEILING(Assumptions!$E$29/30,1)&gt;=1,A138-CEILING(Assumptions!$E$29/30,1)&lt;=156),INDEX($E$2:$E$157,A138-CEILING(Assumptions!$E$29/30,1))*Assumptions!$B$29/100,0)</f>
      </c>
      <c r="N138">
        <f>IF(AND(A138-CEILING(Assumptions!$E$30/30,1)&gt;=1,A138-CEILING(Assumptions!$E$30/30,1)&lt;=156),INDEX($E$2:$E$157,A138-CEILING(Assumptions!$E$30/30,1))*Assumptions!$B$30/100,0)</f>
      </c>
      <c r="O138">
        <f>IF(AND(A138-CEILING(Assumptions!$E$31/30,1)&gt;=1,A138-CEILING(Assumptions!$E$31/30,1)&lt;=156),INDEX($E$2:$E$157,A138-CEILING(Assumptions!$E$31/30,1))*Assumptions!$B$31/100,0)</f>
      </c>
      <c r="P138">
        <f>K138+L138+M138+N138+O138</f>
      </c>
    </row>
    <row r="139" spans="1:16" x14ac:dyDescent="0.25">
      <c r="A139">
        <v>138</v>
      </c>
      <c r="B139">
        <v>12</v>
      </c>
      <c r="C139">
        <f>Assumptions!$B$5*Assumptions!$B$32*Assumptions!$B$6*D139</f>
      </c>
      <c r="D139">
        <f>IF(A139&lt;=3,Assumptions!$B$21,IF(A139&lt;=6,Assumptions!$B$22,IF(A139&lt;=12,Assumptions!$B$23,Assumptions!$B$24)))/100</f>
      </c>
      <c r="E139">
        <f>Assumptions!$B$5*Assumptions!$B$33*Assumptions!$B$6*D139</f>
      </c>
      <c r="F139">
        <f>Assumptions!$B$5*Assumptions!$B$7*Assumptions!$B$6*D139</f>
      </c>
      <c r="G139">
        <f>Assumptions!$B$8</f>
      </c>
      <c r="H139">
        <f>IF(INDEX(Assumptions!$B$35:$B$47,B139)&lt;&gt;"",INDEX(Assumptions!$B$35:$B$47,B139)/100*Assumptions!$B$2,IF(B139&lt;=Assumptions!$B$17,0,IF(B139&lt;=Assumptions!$B$17+Assumptions!$B$18,Assumptions!$B$19,Assumptions!$B$20)))/12</f>
      </c>
      <c r="I139">
        <f>IF(Assumptions!$B$12="Cash",0,IF(A139&lt;=Assumptions!$B$15,Monthly!$S$1,0))</f>
      </c>
      <c r="J139">
        <f>E139-F139-G139-H139-I139</f>
      </c>
      <c r="K139">
        <f>IF(AND(A139-CEILING(Assumptions!$E$27/30,1)&gt;=1,A139-CEILING(Assumptions!$E$27/30,1)&lt;=156),INDEX($E$2:$E$157,A139-CEILING(Assumptions!$E$27/30,1))*Assumptions!$B$27/100,0)</f>
      </c>
      <c r="L139">
        <f>IF(AND(A139-CEILING(Assumptions!$E$28/30,1)&gt;=1,A139-CEILING(Assumptions!$E$28/30,1)&lt;=156),INDEX($E$2:$E$157,A139-CEILING(Assumptions!$E$28/30,1))*Assumptions!$B$28/100,0)</f>
      </c>
      <c r="M139">
        <f>IF(AND(A139-CEILING(Assumptions!$E$29/30,1)&gt;=1,A139-CEILING(Assumptions!$E$29/30,1)&lt;=156),INDEX($E$2:$E$157,A139-CEILING(Assumptions!$E$29/30,1))*Assumptions!$B$29/100,0)</f>
      </c>
      <c r="N139">
        <f>IF(AND(A139-CEILING(Assumptions!$E$30/30,1)&gt;=1,A139-CEILING(Assumptions!$E$30/30,1)&lt;=156),INDEX($E$2:$E$157,A139-CEILING(Assumptions!$E$30/30,1))*Assumptions!$B$30/100,0)</f>
      </c>
      <c r="O139">
        <f>IF(AND(A139-CEILING(Assumptions!$E$31/30,1)&gt;=1,A139-CEILING(Assumptions!$E$31/30,1)&lt;=156),INDEX($E$2:$E$157,A139-CEILING(Assumptions!$E$31/30,1))*Assumptions!$B$31/100,0)</f>
      </c>
      <c r="P139">
        <f>K139+L139+M139+N139+O139</f>
      </c>
    </row>
    <row r="140" spans="1:16" x14ac:dyDescent="0.25">
      <c r="A140">
        <v>139</v>
      </c>
      <c r="B140">
        <v>12</v>
      </c>
      <c r="C140">
        <f>Assumptions!$B$5*Assumptions!$B$32*Assumptions!$B$6*D140</f>
      </c>
      <c r="D140">
        <f>IF(A140&lt;=3,Assumptions!$B$21,IF(A140&lt;=6,Assumptions!$B$22,IF(A140&lt;=12,Assumptions!$B$23,Assumptions!$B$24)))/100</f>
      </c>
      <c r="E140">
        <f>Assumptions!$B$5*Assumptions!$B$33*Assumptions!$B$6*D140</f>
      </c>
      <c r="F140">
        <f>Assumptions!$B$5*Assumptions!$B$7*Assumptions!$B$6*D140</f>
      </c>
      <c r="G140">
        <f>Assumptions!$B$8</f>
      </c>
      <c r="H140">
        <f>IF(INDEX(Assumptions!$B$35:$B$47,B140)&lt;&gt;"",INDEX(Assumptions!$B$35:$B$47,B140)/100*Assumptions!$B$2,IF(B140&lt;=Assumptions!$B$17,0,IF(B140&lt;=Assumptions!$B$17+Assumptions!$B$18,Assumptions!$B$19,Assumptions!$B$20)))/12</f>
      </c>
      <c r="I140">
        <f>IF(Assumptions!$B$12="Cash",0,IF(A140&lt;=Assumptions!$B$15,Monthly!$S$1,0))</f>
      </c>
      <c r="J140">
        <f>E140-F140-G140-H140-I140</f>
      </c>
      <c r="K140">
        <f>IF(AND(A140-CEILING(Assumptions!$E$27/30,1)&gt;=1,A140-CEILING(Assumptions!$E$27/30,1)&lt;=156),INDEX($E$2:$E$157,A140-CEILING(Assumptions!$E$27/30,1))*Assumptions!$B$27/100,0)</f>
      </c>
      <c r="L140">
        <f>IF(AND(A140-CEILING(Assumptions!$E$28/30,1)&gt;=1,A140-CEILING(Assumptions!$E$28/30,1)&lt;=156),INDEX($E$2:$E$157,A140-CEILING(Assumptions!$E$28/30,1))*Assumptions!$B$28/100,0)</f>
      </c>
      <c r="M140">
        <f>IF(AND(A140-CEILING(Assumptions!$E$29/30,1)&gt;=1,A140-CEILING(Assumptions!$E$29/30,1)&lt;=156),INDEX($E$2:$E$157,A140-CEILING(Assumptions!$E$29/30,1))*Assumptions!$B$29/100,0)</f>
      </c>
      <c r="N140">
        <f>IF(AND(A140-CEILING(Assumptions!$E$30/30,1)&gt;=1,A140-CEILING(Assumptions!$E$30/30,1)&lt;=156),INDEX($E$2:$E$157,A140-CEILING(Assumptions!$E$30/30,1))*Assumptions!$B$30/100,0)</f>
      </c>
      <c r="O140">
        <f>IF(AND(A140-CEILING(Assumptions!$E$31/30,1)&gt;=1,A140-CEILING(Assumptions!$E$31/30,1)&lt;=156),INDEX($E$2:$E$157,A140-CEILING(Assumptions!$E$31/30,1))*Assumptions!$B$31/100,0)</f>
      </c>
      <c r="P140">
        <f>K140+L140+M140+N140+O140</f>
      </c>
    </row>
    <row r="141" spans="1:16" x14ac:dyDescent="0.25">
      <c r="A141">
        <v>140</v>
      </c>
      <c r="B141">
        <v>12</v>
      </c>
      <c r="C141">
        <f>Assumptions!$B$5*Assumptions!$B$32*Assumptions!$B$6*D141</f>
      </c>
      <c r="D141">
        <f>IF(A141&lt;=3,Assumptions!$B$21,IF(A141&lt;=6,Assumptions!$B$22,IF(A141&lt;=12,Assumptions!$B$23,Assumptions!$B$24)))/100</f>
      </c>
      <c r="E141">
        <f>Assumptions!$B$5*Assumptions!$B$33*Assumptions!$B$6*D141</f>
      </c>
      <c r="F141">
        <f>Assumptions!$B$5*Assumptions!$B$7*Assumptions!$B$6*D141</f>
      </c>
      <c r="G141">
        <f>Assumptions!$B$8</f>
      </c>
      <c r="H141">
        <f>IF(INDEX(Assumptions!$B$35:$B$47,B141)&lt;&gt;"",INDEX(Assumptions!$B$35:$B$47,B141)/100*Assumptions!$B$2,IF(B141&lt;=Assumptions!$B$17,0,IF(B141&lt;=Assumptions!$B$17+Assumptions!$B$18,Assumptions!$B$19,Assumptions!$B$20)))/12</f>
      </c>
      <c r="I141">
        <f>IF(Assumptions!$B$12="Cash",0,IF(A141&lt;=Assumptions!$B$15,Monthly!$S$1,0))</f>
      </c>
      <c r="J141">
        <f>E141-F141-G141-H141-I141</f>
      </c>
      <c r="K141">
        <f>IF(AND(A141-CEILING(Assumptions!$E$27/30,1)&gt;=1,A141-CEILING(Assumptions!$E$27/30,1)&lt;=156),INDEX($E$2:$E$157,A141-CEILING(Assumptions!$E$27/30,1))*Assumptions!$B$27/100,0)</f>
      </c>
      <c r="L141">
        <f>IF(AND(A141-CEILING(Assumptions!$E$28/30,1)&gt;=1,A141-CEILING(Assumptions!$E$28/30,1)&lt;=156),INDEX($E$2:$E$157,A141-CEILING(Assumptions!$E$28/30,1))*Assumptions!$B$28/100,0)</f>
      </c>
      <c r="M141">
        <f>IF(AND(A141-CEILING(Assumptions!$E$29/30,1)&gt;=1,A141-CEILING(Assumptions!$E$29/30,1)&lt;=156),INDEX($E$2:$E$157,A141-CEILING(Assumptions!$E$29/30,1))*Assumptions!$B$29/100,0)</f>
      </c>
      <c r="N141">
        <f>IF(AND(A141-CEILING(Assumptions!$E$30/30,1)&gt;=1,A141-CEILING(Assumptions!$E$30/30,1)&lt;=156),INDEX($E$2:$E$157,A141-CEILING(Assumptions!$E$30/30,1))*Assumptions!$B$30/100,0)</f>
      </c>
      <c r="O141">
        <f>IF(AND(A141-CEILING(Assumptions!$E$31/30,1)&gt;=1,A141-CEILING(Assumptions!$E$31/30,1)&lt;=156),INDEX($E$2:$E$157,A141-CEILING(Assumptions!$E$31/30,1))*Assumptions!$B$31/100,0)</f>
      </c>
      <c r="P141">
        <f>K141+L141+M141+N141+O141</f>
      </c>
    </row>
    <row r="142" spans="1:16" x14ac:dyDescent="0.25">
      <c r="A142">
        <v>141</v>
      </c>
      <c r="B142">
        <v>12</v>
      </c>
      <c r="C142">
        <f>Assumptions!$B$5*Assumptions!$B$32*Assumptions!$B$6*D142</f>
      </c>
      <c r="D142">
        <f>IF(A142&lt;=3,Assumptions!$B$21,IF(A142&lt;=6,Assumptions!$B$22,IF(A142&lt;=12,Assumptions!$B$23,Assumptions!$B$24)))/100</f>
      </c>
      <c r="E142">
        <f>Assumptions!$B$5*Assumptions!$B$33*Assumptions!$B$6*D142</f>
      </c>
      <c r="F142">
        <f>Assumptions!$B$5*Assumptions!$B$7*Assumptions!$B$6*D142</f>
      </c>
      <c r="G142">
        <f>Assumptions!$B$8</f>
      </c>
      <c r="H142">
        <f>IF(INDEX(Assumptions!$B$35:$B$47,B142)&lt;&gt;"",INDEX(Assumptions!$B$35:$B$47,B142)/100*Assumptions!$B$2,IF(B142&lt;=Assumptions!$B$17,0,IF(B142&lt;=Assumptions!$B$17+Assumptions!$B$18,Assumptions!$B$19,Assumptions!$B$20)))/12</f>
      </c>
      <c r="I142">
        <f>IF(Assumptions!$B$12="Cash",0,IF(A142&lt;=Assumptions!$B$15,Monthly!$S$1,0))</f>
      </c>
      <c r="J142">
        <f>E142-F142-G142-H142-I142</f>
      </c>
      <c r="K142">
        <f>IF(AND(A142-CEILING(Assumptions!$E$27/30,1)&gt;=1,A142-CEILING(Assumptions!$E$27/30,1)&lt;=156),INDEX($E$2:$E$157,A142-CEILING(Assumptions!$E$27/30,1))*Assumptions!$B$27/100,0)</f>
      </c>
      <c r="L142">
        <f>IF(AND(A142-CEILING(Assumptions!$E$28/30,1)&gt;=1,A142-CEILING(Assumptions!$E$28/30,1)&lt;=156),INDEX($E$2:$E$157,A142-CEILING(Assumptions!$E$28/30,1))*Assumptions!$B$28/100,0)</f>
      </c>
      <c r="M142">
        <f>IF(AND(A142-CEILING(Assumptions!$E$29/30,1)&gt;=1,A142-CEILING(Assumptions!$E$29/30,1)&lt;=156),INDEX($E$2:$E$157,A142-CEILING(Assumptions!$E$29/30,1))*Assumptions!$B$29/100,0)</f>
      </c>
      <c r="N142">
        <f>IF(AND(A142-CEILING(Assumptions!$E$30/30,1)&gt;=1,A142-CEILING(Assumptions!$E$30/30,1)&lt;=156),INDEX($E$2:$E$157,A142-CEILING(Assumptions!$E$30/30,1))*Assumptions!$B$30/100,0)</f>
      </c>
      <c r="O142">
        <f>IF(AND(A142-CEILING(Assumptions!$E$31/30,1)&gt;=1,A142-CEILING(Assumptions!$E$31/30,1)&lt;=156),INDEX($E$2:$E$157,A142-CEILING(Assumptions!$E$31/30,1))*Assumptions!$B$31/100,0)</f>
      </c>
      <c r="P142">
        <f>K142+L142+M142+N142+O142</f>
      </c>
    </row>
    <row r="143" spans="1:16" x14ac:dyDescent="0.25">
      <c r="A143">
        <v>142</v>
      </c>
      <c r="B143">
        <v>12</v>
      </c>
      <c r="C143">
        <f>Assumptions!$B$5*Assumptions!$B$32*Assumptions!$B$6*D143</f>
      </c>
      <c r="D143">
        <f>IF(A143&lt;=3,Assumptions!$B$21,IF(A143&lt;=6,Assumptions!$B$22,IF(A143&lt;=12,Assumptions!$B$23,Assumptions!$B$24)))/100</f>
      </c>
      <c r="E143">
        <f>Assumptions!$B$5*Assumptions!$B$33*Assumptions!$B$6*D143</f>
      </c>
      <c r="F143">
        <f>Assumptions!$B$5*Assumptions!$B$7*Assumptions!$B$6*D143</f>
      </c>
      <c r="G143">
        <f>Assumptions!$B$8</f>
      </c>
      <c r="H143">
        <f>IF(INDEX(Assumptions!$B$35:$B$47,B143)&lt;&gt;"",INDEX(Assumptions!$B$35:$B$47,B143)/100*Assumptions!$B$2,IF(B143&lt;=Assumptions!$B$17,0,IF(B143&lt;=Assumptions!$B$17+Assumptions!$B$18,Assumptions!$B$19,Assumptions!$B$20)))/12</f>
      </c>
      <c r="I143">
        <f>IF(Assumptions!$B$12="Cash",0,IF(A143&lt;=Assumptions!$B$15,Monthly!$S$1,0))</f>
      </c>
      <c r="J143">
        <f>E143-F143-G143-H143-I143</f>
      </c>
      <c r="K143">
        <f>IF(AND(A143-CEILING(Assumptions!$E$27/30,1)&gt;=1,A143-CEILING(Assumptions!$E$27/30,1)&lt;=156),INDEX($E$2:$E$157,A143-CEILING(Assumptions!$E$27/30,1))*Assumptions!$B$27/100,0)</f>
      </c>
      <c r="L143">
        <f>IF(AND(A143-CEILING(Assumptions!$E$28/30,1)&gt;=1,A143-CEILING(Assumptions!$E$28/30,1)&lt;=156),INDEX($E$2:$E$157,A143-CEILING(Assumptions!$E$28/30,1))*Assumptions!$B$28/100,0)</f>
      </c>
      <c r="M143">
        <f>IF(AND(A143-CEILING(Assumptions!$E$29/30,1)&gt;=1,A143-CEILING(Assumptions!$E$29/30,1)&lt;=156),INDEX($E$2:$E$157,A143-CEILING(Assumptions!$E$29/30,1))*Assumptions!$B$29/100,0)</f>
      </c>
      <c r="N143">
        <f>IF(AND(A143-CEILING(Assumptions!$E$30/30,1)&gt;=1,A143-CEILING(Assumptions!$E$30/30,1)&lt;=156),INDEX($E$2:$E$157,A143-CEILING(Assumptions!$E$30/30,1))*Assumptions!$B$30/100,0)</f>
      </c>
      <c r="O143">
        <f>IF(AND(A143-CEILING(Assumptions!$E$31/30,1)&gt;=1,A143-CEILING(Assumptions!$E$31/30,1)&lt;=156),INDEX($E$2:$E$157,A143-CEILING(Assumptions!$E$31/30,1))*Assumptions!$B$31/100,0)</f>
      </c>
      <c r="P143">
        <f>K143+L143+M143+N143+O143</f>
      </c>
    </row>
    <row r="144" spans="1:16" x14ac:dyDescent="0.25">
      <c r="A144">
        <v>143</v>
      </c>
      <c r="B144">
        <v>12</v>
      </c>
      <c r="C144">
        <f>Assumptions!$B$5*Assumptions!$B$32*Assumptions!$B$6*D144</f>
      </c>
      <c r="D144">
        <f>IF(A144&lt;=3,Assumptions!$B$21,IF(A144&lt;=6,Assumptions!$B$22,IF(A144&lt;=12,Assumptions!$B$23,Assumptions!$B$24)))/100</f>
      </c>
      <c r="E144">
        <f>Assumptions!$B$5*Assumptions!$B$33*Assumptions!$B$6*D144</f>
      </c>
      <c r="F144">
        <f>Assumptions!$B$5*Assumptions!$B$7*Assumptions!$B$6*D144</f>
      </c>
      <c r="G144">
        <f>Assumptions!$B$8</f>
      </c>
      <c r="H144">
        <f>IF(INDEX(Assumptions!$B$35:$B$47,B144)&lt;&gt;"",INDEX(Assumptions!$B$35:$B$47,B144)/100*Assumptions!$B$2,IF(B144&lt;=Assumptions!$B$17,0,IF(B144&lt;=Assumptions!$B$17+Assumptions!$B$18,Assumptions!$B$19,Assumptions!$B$20)))/12</f>
      </c>
      <c r="I144">
        <f>IF(Assumptions!$B$12="Cash",0,IF(A144&lt;=Assumptions!$B$15,Monthly!$S$1,0))</f>
      </c>
      <c r="J144">
        <f>E144-F144-G144-H144-I144</f>
      </c>
      <c r="K144">
        <f>IF(AND(A144-CEILING(Assumptions!$E$27/30,1)&gt;=1,A144-CEILING(Assumptions!$E$27/30,1)&lt;=156),INDEX($E$2:$E$157,A144-CEILING(Assumptions!$E$27/30,1))*Assumptions!$B$27/100,0)</f>
      </c>
      <c r="L144">
        <f>IF(AND(A144-CEILING(Assumptions!$E$28/30,1)&gt;=1,A144-CEILING(Assumptions!$E$28/30,1)&lt;=156),INDEX($E$2:$E$157,A144-CEILING(Assumptions!$E$28/30,1))*Assumptions!$B$28/100,0)</f>
      </c>
      <c r="M144">
        <f>IF(AND(A144-CEILING(Assumptions!$E$29/30,1)&gt;=1,A144-CEILING(Assumptions!$E$29/30,1)&lt;=156),INDEX($E$2:$E$157,A144-CEILING(Assumptions!$E$29/30,1))*Assumptions!$B$29/100,0)</f>
      </c>
      <c r="N144">
        <f>IF(AND(A144-CEILING(Assumptions!$E$30/30,1)&gt;=1,A144-CEILING(Assumptions!$E$30/30,1)&lt;=156),INDEX($E$2:$E$157,A144-CEILING(Assumptions!$E$30/30,1))*Assumptions!$B$30/100,0)</f>
      </c>
      <c r="O144">
        <f>IF(AND(A144-CEILING(Assumptions!$E$31/30,1)&gt;=1,A144-CEILING(Assumptions!$E$31/30,1)&lt;=156),INDEX($E$2:$E$157,A144-CEILING(Assumptions!$E$31/30,1))*Assumptions!$B$31/100,0)</f>
      </c>
      <c r="P144">
        <f>K144+L144+M144+N144+O144</f>
      </c>
    </row>
    <row r="145" spans="1:16" x14ac:dyDescent="0.25">
      <c r="A145">
        <v>144</v>
      </c>
      <c r="B145">
        <v>12</v>
      </c>
      <c r="C145">
        <f>Assumptions!$B$5*Assumptions!$B$32*Assumptions!$B$6*D145</f>
      </c>
      <c r="D145">
        <f>IF(A145&lt;=3,Assumptions!$B$21,IF(A145&lt;=6,Assumptions!$B$22,IF(A145&lt;=12,Assumptions!$B$23,Assumptions!$B$24)))/100</f>
      </c>
      <c r="E145">
        <f>Assumptions!$B$5*Assumptions!$B$33*Assumptions!$B$6*D145</f>
      </c>
      <c r="F145">
        <f>Assumptions!$B$5*Assumptions!$B$7*Assumptions!$B$6*D145</f>
      </c>
      <c r="G145">
        <f>Assumptions!$B$8</f>
      </c>
      <c r="H145">
        <f>IF(INDEX(Assumptions!$B$35:$B$47,B145)&lt;&gt;"",INDEX(Assumptions!$B$35:$B$47,B145)/100*Assumptions!$B$2,IF(B145&lt;=Assumptions!$B$17,0,IF(B145&lt;=Assumptions!$B$17+Assumptions!$B$18,Assumptions!$B$19,Assumptions!$B$20)))/12</f>
      </c>
      <c r="I145">
        <f>IF(Assumptions!$B$12="Cash",0,IF(A145&lt;=Assumptions!$B$15,Monthly!$S$1,0))</f>
      </c>
      <c r="J145">
        <f>E145-F145-G145-H145-I145</f>
      </c>
      <c r="K145">
        <f>IF(AND(A145-CEILING(Assumptions!$E$27/30,1)&gt;=1,A145-CEILING(Assumptions!$E$27/30,1)&lt;=156),INDEX($E$2:$E$157,A145-CEILING(Assumptions!$E$27/30,1))*Assumptions!$B$27/100,0)</f>
      </c>
      <c r="L145">
        <f>IF(AND(A145-CEILING(Assumptions!$E$28/30,1)&gt;=1,A145-CEILING(Assumptions!$E$28/30,1)&lt;=156),INDEX($E$2:$E$157,A145-CEILING(Assumptions!$E$28/30,1))*Assumptions!$B$28/100,0)</f>
      </c>
      <c r="M145">
        <f>IF(AND(A145-CEILING(Assumptions!$E$29/30,1)&gt;=1,A145-CEILING(Assumptions!$E$29/30,1)&lt;=156),INDEX($E$2:$E$157,A145-CEILING(Assumptions!$E$29/30,1))*Assumptions!$B$29/100,0)</f>
      </c>
      <c r="N145">
        <f>IF(AND(A145-CEILING(Assumptions!$E$30/30,1)&gt;=1,A145-CEILING(Assumptions!$E$30/30,1)&lt;=156),INDEX($E$2:$E$157,A145-CEILING(Assumptions!$E$30/30,1))*Assumptions!$B$30/100,0)</f>
      </c>
      <c r="O145">
        <f>IF(AND(A145-CEILING(Assumptions!$E$31/30,1)&gt;=1,A145-CEILING(Assumptions!$E$31/30,1)&lt;=156),INDEX($E$2:$E$157,A145-CEILING(Assumptions!$E$31/30,1))*Assumptions!$B$31/100,0)</f>
      </c>
      <c r="P145">
        <f>K145+L145+M145+N145+O145</f>
      </c>
    </row>
    <row r="146" spans="1:16" x14ac:dyDescent="0.25">
      <c r="A146">
        <v>145</v>
      </c>
      <c r="B146">
        <v>13</v>
      </c>
      <c r="C146">
        <f>Assumptions!$B$5*Assumptions!$B$32*Assumptions!$B$6*D146</f>
      </c>
      <c r="D146">
        <f>IF(A146&lt;=3,Assumptions!$B$21,IF(A146&lt;=6,Assumptions!$B$22,IF(A146&lt;=12,Assumptions!$B$23,Assumptions!$B$24)))/100</f>
      </c>
      <c r="E146">
        <f>Assumptions!$B$5*Assumptions!$B$33*Assumptions!$B$6*D146</f>
      </c>
      <c r="F146">
        <f>Assumptions!$B$5*Assumptions!$B$7*Assumptions!$B$6*D146</f>
      </c>
      <c r="G146">
        <f>Assumptions!$B$8</f>
      </c>
      <c r="H146">
        <f>IF(INDEX(Assumptions!$B$35:$B$47,B146)&lt;&gt;"",INDEX(Assumptions!$B$35:$B$47,B146)/100*Assumptions!$B$2,IF(B146&lt;=Assumptions!$B$17,0,IF(B146&lt;=Assumptions!$B$17+Assumptions!$B$18,Assumptions!$B$19,Assumptions!$B$20)))/12</f>
      </c>
      <c r="I146">
        <f>IF(Assumptions!$B$12="Cash",0,IF(A146&lt;=Assumptions!$B$15,Monthly!$S$1,0))</f>
      </c>
      <c r="J146">
        <f>E146-F146-G146-H146-I146</f>
      </c>
      <c r="K146">
        <f>IF(AND(A146-CEILING(Assumptions!$E$27/30,1)&gt;=1,A146-CEILING(Assumptions!$E$27/30,1)&lt;=156),INDEX($E$2:$E$157,A146-CEILING(Assumptions!$E$27/30,1))*Assumptions!$B$27/100,0)</f>
      </c>
      <c r="L146">
        <f>IF(AND(A146-CEILING(Assumptions!$E$28/30,1)&gt;=1,A146-CEILING(Assumptions!$E$28/30,1)&lt;=156),INDEX($E$2:$E$157,A146-CEILING(Assumptions!$E$28/30,1))*Assumptions!$B$28/100,0)</f>
      </c>
      <c r="M146">
        <f>IF(AND(A146-CEILING(Assumptions!$E$29/30,1)&gt;=1,A146-CEILING(Assumptions!$E$29/30,1)&lt;=156),INDEX($E$2:$E$157,A146-CEILING(Assumptions!$E$29/30,1))*Assumptions!$B$29/100,0)</f>
      </c>
      <c r="N146">
        <f>IF(AND(A146-CEILING(Assumptions!$E$30/30,1)&gt;=1,A146-CEILING(Assumptions!$E$30/30,1)&lt;=156),INDEX($E$2:$E$157,A146-CEILING(Assumptions!$E$30/30,1))*Assumptions!$B$30/100,0)</f>
      </c>
      <c r="O146">
        <f>IF(AND(A146-CEILING(Assumptions!$E$31/30,1)&gt;=1,A146-CEILING(Assumptions!$E$31/30,1)&lt;=156),INDEX($E$2:$E$157,A146-CEILING(Assumptions!$E$31/30,1))*Assumptions!$B$31/100,0)</f>
      </c>
      <c r="P146">
        <f>K146+L146+M146+N146+O146</f>
      </c>
    </row>
    <row r="147" spans="1:16" x14ac:dyDescent="0.25">
      <c r="A147">
        <v>146</v>
      </c>
      <c r="B147">
        <v>13</v>
      </c>
      <c r="C147">
        <f>Assumptions!$B$5*Assumptions!$B$32*Assumptions!$B$6*D147</f>
      </c>
      <c r="D147">
        <f>IF(A147&lt;=3,Assumptions!$B$21,IF(A147&lt;=6,Assumptions!$B$22,IF(A147&lt;=12,Assumptions!$B$23,Assumptions!$B$24)))/100</f>
      </c>
      <c r="E147">
        <f>Assumptions!$B$5*Assumptions!$B$33*Assumptions!$B$6*D147</f>
      </c>
      <c r="F147">
        <f>Assumptions!$B$5*Assumptions!$B$7*Assumptions!$B$6*D147</f>
      </c>
      <c r="G147">
        <f>Assumptions!$B$8</f>
      </c>
      <c r="H147">
        <f>IF(INDEX(Assumptions!$B$35:$B$47,B147)&lt;&gt;"",INDEX(Assumptions!$B$35:$B$47,B147)/100*Assumptions!$B$2,IF(B147&lt;=Assumptions!$B$17,0,IF(B147&lt;=Assumptions!$B$17+Assumptions!$B$18,Assumptions!$B$19,Assumptions!$B$20)))/12</f>
      </c>
      <c r="I147">
        <f>IF(Assumptions!$B$12="Cash",0,IF(A147&lt;=Assumptions!$B$15,Monthly!$S$1,0))</f>
      </c>
      <c r="J147">
        <f>E147-F147-G147-H147-I147</f>
      </c>
      <c r="K147">
        <f>IF(AND(A147-CEILING(Assumptions!$E$27/30,1)&gt;=1,A147-CEILING(Assumptions!$E$27/30,1)&lt;=156),INDEX($E$2:$E$157,A147-CEILING(Assumptions!$E$27/30,1))*Assumptions!$B$27/100,0)</f>
      </c>
      <c r="L147">
        <f>IF(AND(A147-CEILING(Assumptions!$E$28/30,1)&gt;=1,A147-CEILING(Assumptions!$E$28/30,1)&lt;=156),INDEX($E$2:$E$157,A147-CEILING(Assumptions!$E$28/30,1))*Assumptions!$B$28/100,0)</f>
      </c>
      <c r="M147">
        <f>IF(AND(A147-CEILING(Assumptions!$E$29/30,1)&gt;=1,A147-CEILING(Assumptions!$E$29/30,1)&lt;=156),INDEX($E$2:$E$157,A147-CEILING(Assumptions!$E$29/30,1))*Assumptions!$B$29/100,0)</f>
      </c>
      <c r="N147">
        <f>IF(AND(A147-CEILING(Assumptions!$E$30/30,1)&gt;=1,A147-CEILING(Assumptions!$E$30/30,1)&lt;=156),INDEX($E$2:$E$157,A147-CEILING(Assumptions!$E$30/30,1))*Assumptions!$B$30/100,0)</f>
      </c>
      <c r="O147">
        <f>IF(AND(A147-CEILING(Assumptions!$E$31/30,1)&gt;=1,A147-CEILING(Assumptions!$E$31/30,1)&lt;=156),INDEX($E$2:$E$157,A147-CEILING(Assumptions!$E$31/30,1))*Assumptions!$B$31/100,0)</f>
      </c>
      <c r="P147">
        <f>K147+L147+M147+N147+O147</f>
      </c>
    </row>
    <row r="148" spans="1:16" x14ac:dyDescent="0.25">
      <c r="A148">
        <v>147</v>
      </c>
      <c r="B148">
        <v>13</v>
      </c>
      <c r="C148">
        <f>Assumptions!$B$5*Assumptions!$B$32*Assumptions!$B$6*D148</f>
      </c>
      <c r="D148">
        <f>IF(A148&lt;=3,Assumptions!$B$21,IF(A148&lt;=6,Assumptions!$B$22,IF(A148&lt;=12,Assumptions!$B$23,Assumptions!$B$24)))/100</f>
      </c>
      <c r="E148">
        <f>Assumptions!$B$5*Assumptions!$B$33*Assumptions!$B$6*D148</f>
      </c>
      <c r="F148">
        <f>Assumptions!$B$5*Assumptions!$B$7*Assumptions!$B$6*D148</f>
      </c>
      <c r="G148">
        <f>Assumptions!$B$8</f>
      </c>
      <c r="H148">
        <f>IF(INDEX(Assumptions!$B$35:$B$47,B148)&lt;&gt;"",INDEX(Assumptions!$B$35:$B$47,B148)/100*Assumptions!$B$2,IF(B148&lt;=Assumptions!$B$17,0,IF(B148&lt;=Assumptions!$B$17+Assumptions!$B$18,Assumptions!$B$19,Assumptions!$B$20)))/12</f>
      </c>
      <c r="I148">
        <f>IF(Assumptions!$B$12="Cash",0,IF(A148&lt;=Assumptions!$B$15,Monthly!$S$1,0))</f>
      </c>
      <c r="J148">
        <f>E148-F148-G148-H148-I148</f>
      </c>
      <c r="K148">
        <f>IF(AND(A148-CEILING(Assumptions!$E$27/30,1)&gt;=1,A148-CEILING(Assumptions!$E$27/30,1)&lt;=156),INDEX($E$2:$E$157,A148-CEILING(Assumptions!$E$27/30,1))*Assumptions!$B$27/100,0)</f>
      </c>
      <c r="L148">
        <f>IF(AND(A148-CEILING(Assumptions!$E$28/30,1)&gt;=1,A148-CEILING(Assumptions!$E$28/30,1)&lt;=156),INDEX($E$2:$E$157,A148-CEILING(Assumptions!$E$28/30,1))*Assumptions!$B$28/100,0)</f>
      </c>
      <c r="M148">
        <f>IF(AND(A148-CEILING(Assumptions!$E$29/30,1)&gt;=1,A148-CEILING(Assumptions!$E$29/30,1)&lt;=156),INDEX($E$2:$E$157,A148-CEILING(Assumptions!$E$29/30,1))*Assumptions!$B$29/100,0)</f>
      </c>
      <c r="N148">
        <f>IF(AND(A148-CEILING(Assumptions!$E$30/30,1)&gt;=1,A148-CEILING(Assumptions!$E$30/30,1)&lt;=156),INDEX($E$2:$E$157,A148-CEILING(Assumptions!$E$30/30,1))*Assumptions!$B$30/100,0)</f>
      </c>
      <c r="O148">
        <f>IF(AND(A148-CEILING(Assumptions!$E$31/30,1)&gt;=1,A148-CEILING(Assumptions!$E$31/30,1)&lt;=156),INDEX($E$2:$E$157,A148-CEILING(Assumptions!$E$31/30,1))*Assumptions!$B$31/100,0)</f>
      </c>
      <c r="P148">
        <f>K148+L148+M148+N148+O148</f>
      </c>
    </row>
    <row r="149" spans="1:16" x14ac:dyDescent="0.25">
      <c r="A149">
        <v>148</v>
      </c>
      <c r="B149">
        <v>13</v>
      </c>
      <c r="C149">
        <f>Assumptions!$B$5*Assumptions!$B$32*Assumptions!$B$6*D149</f>
      </c>
      <c r="D149">
        <f>IF(A149&lt;=3,Assumptions!$B$21,IF(A149&lt;=6,Assumptions!$B$22,IF(A149&lt;=12,Assumptions!$B$23,Assumptions!$B$24)))/100</f>
      </c>
      <c r="E149">
        <f>Assumptions!$B$5*Assumptions!$B$33*Assumptions!$B$6*D149</f>
      </c>
      <c r="F149">
        <f>Assumptions!$B$5*Assumptions!$B$7*Assumptions!$B$6*D149</f>
      </c>
      <c r="G149">
        <f>Assumptions!$B$8</f>
      </c>
      <c r="H149">
        <f>IF(INDEX(Assumptions!$B$35:$B$47,B149)&lt;&gt;"",INDEX(Assumptions!$B$35:$B$47,B149)/100*Assumptions!$B$2,IF(B149&lt;=Assumptions!$B$17,0,IF(B149&lt;=Assumptions!$B$17+Assumptions!$B$18,Assumptions!$B$19,Assumptions!$B$20)))/12</f>
      </c>
      <c r="I149">
        <f>IF(Assumptions!$B$12="Cash",0,IF(A149&lt;=Assumptions!$B$15,Monthly!$S$1,0))</f>
      </c>
      <c r="J149">
        <f>E149-F149-G149-H149-I149</f>
      </c>
      <c r="K149">
        <f>IF(AND(A149-CEILING(Assumptions!$E$27/30,1)&gt;=1,A149-CEILING(Assumptions!$E$27/30,1)&lt;=156),INDEX($E$2:$E$157,A149-CEILING(Assumptions!$E$27/30,1))*Assumptions!$B$27/100,0)</f>
      </c>
      <c r="L149">
        <f>IF(AND(A149-CEILING(Assumptions!$E$28/30,1)&gt;=1,A149-CEILING(Assumptions!$E$28/30,1)&lt;=156),INDEX($E$2:$E$157,A149-CEILING(Assumptions!$E$28/30,1))*Assumptions!$B$28/100,0)</f>
      </c>
      <c r="M149">
        <f>IF(AND(A149-CEILING(Assumptions!$E$29/30,1)&gt;=1,A149-CEILING(Assumptions!$E$29/30,1)&lt;=156),INDEX($E$2:$E$157,A149-CEILING(Assumptions!$E$29/30,1))*Assumptions!$B$29/100,0)</f>
      </c>
      <c r="N149">
        <f>IF(AND(A149-CEILING(Assumptions!$E$30/30,1)&gt;=1,A149-CEILING(Assumptions!$E$30/30,1)&lt;=156),INDEX($E$2:$E$157,A149-CEILING(Assumptions!$E$30/30,1))*Assumptions!$B$30/100,0)</f>
      </c>
      <c r="O149">
        <f>IF(AND(A149-CEILING(Assumptions!$E$31/30,1)&gt;=1,A149-CEILING(Assumptions!$E$31/30,1)&lt;=156),INDEX($E$2:$E$157,A149-CEILING(Assumptions!$E$31/30,1))*Assumptions!$B$31/100,0)</f>
      </c>
      <c r="P149">
        <f>K149+L149+M149+N149+O149</f>
      </c>
    </row>
    <row r="150" spans="1:16" x14ac:dyDescent="0.25">
      <c r="A150">
        <v>149</v>
      </c>
      <c r="B150">
        <v>13</v>
      </c>
      <c r="C150">
        <f>Assumptions!$B$5*Assumptions!$B$32*Assumptions!$B$6*D150</f>
      </c>
      <c r="D150">
        <f>IF(A150&lt;=3,Assumptions!$B$21,IF(A150&lt;=6,Assumptions!$B$22,IF(A150&lt;=12,Assumptions!$B$23,Assumptions!$B$24)))/100</f>
      </c>
      <c r="E150">
        <f>Assumptions!$B$5*Assumptions!$B$33*Assumptions!$B$6*D150</f>
      </c>
      <c r="F150">
        <f>Assumptions!$B$5*Assumptions!$B$7*Assumptions!$B$6*D150</f>
      </c>
      <c r="G150">
        <f>Assumptions!$B$8</f>
      </c>
      <c r="H150">
        <f>IF(INDEX(Assumptions!$B$35:$B$47,B150)&lt;&gt;"",INDEX(Assumptions!$B$35:$B$47,B150)/100*Assumptions!$B$2,IF(B150&lt;=Assumptions!$B$17,0,IF(B150&lt;=Assumptions!$B$17+Assumptions!$B$18,Assumptions!$B$19,Assumptions!$B$20)))/12</f>
      </c>
      <c r="I150">
        <f>IF(Assumptions!$B$12="Cash",0,IF(A150&lt;=Assumptions!$B$15,Monthly!$S$1,0))</f>
      </c>
      <c r="J150">
        <f>E150-F150-G150-H150-I150</f>
      </c>
      <c r="K150">
        <f>IF(AND(A150-CEILING(Assumptions!$E$27/30,1)&gt;=1,A150-CEILING(Assumptions!$E$27/30,1)&lt;=156),INDEX($E$2:$E$157,A150-CEILING(Assumptions!$E$27/30,1))*Assumptions!$B$27/100,0)</f>
      </c>
      <c r="L150">
        <f>IF(AND(A150-CEILING(Assumptions!$E$28/30,1)&gt;=1,A150-CEILING(Assumptions!$E$28/30,1)&lt;=156),INDEX($E$2:$E$157,A150-CEILING(Assumptions!$E$28/30,1))*Assumptions!$B$28/100,0)</f>
      </c>
      <c r="M150">
        <f>IF(AND(A150-CEILING(Assumptions!$E$29/30,1)&gt;=1,A150-CEILING(Assumptions!$E$29/30,1)&lt;=156),INDEX($E$2:$E$157,A150-CEILING(Assumptions!$E$29/30,1))*Assumptions!$B$29/100,0)</f>
      </c>
      <c r="N150">
        <f>IF(AND(A150-CEILING(Assumptions!$E$30/30,1)&gt;=1,A150-CEILING(Assumptions!$E$30/30,1)&lt;=156),INDEX($E$2:$E$157,A150-CEILING(Assumptions!$E$30/30,1))*Assumptions!$B$30/100,0)</f>
      </c>
      <c r="O150">
        <f>IF(AND(A150-CEILING(Assumptions!$E$31/30,1)&gt;=1,A150-CEILING(Assumptions!$E$31/30,1)&lt;=156),INDEX($E$2:$E$157,A150-CEILING(Assumptions!$E$31/30,1))*Assumptions!$B$31/100,0)</f>
      </c>
      <c r="P150">
        <f>K150+L150+M150+N150+O150</f>
      </c>
    </row>
    <row r="151" spans="1:16" x14ac:dyDescent="0.25">
      <c r="A151">
        <v>150</v>
      </c>
      <c r="B151">
        <v>13</v>
      </c>
      <c r="C151">
        <f>Assumptions!$B$5*Assumptions!$B$32*Assumptions!$B$6*D151</f>
      </c>
      <c r="D151">
        <f>IF(A151&lt;=3,Assumptions!$B$21,IF(A151&lt;=6,Assumptions!$B$22,IF(A151&lt;=12,Assumptions!$B$23,Assumptions!$B$24)))/100</f>
      </c>
      <c r="E151">
        <f>Assumptions!$B$5*Assumptions!$B$33*Assumptions!$B$6*D151</f>
      </c>
      <c r="F151">
        <f>Assumptions!$B$5*Assumptions!$B$7*Assumptions!$B$6*D151</f>
      </c>
      <c r="G151">
        <f>Assumptions!$B$8</f>
      </c>
      <c r="H151">
        <f>IF(INDEX(Assumptions!$B$35:$B$47,B151)&lt;&gt;"",INDEX(Assumptions!$B$35:$B$47,B151)/100*Assumptions!$B$2,IF(B151&lt;=Assumptions!$B$17,0,IF(B151&lt;=Assumptions!$B$17+Assumptions!$B$18,Assumptions!$B$19,Assumptions!$B$20)))/12</f>
      </c>
      <c r="I151">
        <f>IF(Assumptions!$B$12="Cash",0,IF(A151&lt;=Assumptions!$B$15,Monthly!$S$1,0))</f>
      </c>
      <c r="J151">
        <f>E151-F151-G151-H151-I151</f>
      </c>
      <c r="K151">
        <f>IF(AND(A151-CEILING(Assumptions!$E$27/30,1)&gt;=1,A151-CEILING(Assumptions!$E$27/30,1)&lt;=156),INDEX($E$2:$E$157,A151-CEILING(Assumptions!$E$27/30,1))*Assumptions!$B$27/100,0)</f>
      </c>
      <c r="L151">
        <f>IF(AND(A151-CEILING(Assumptions!$E$28/30,1)&gt;=1,A151-CEILING(Assumptions!$E$28/30,1)&lt;=156),INDEX($E$2:$E$157,A151-CEILING(Assumptions!$E$28/30,1))*Assumptions!$B$28/100,0)</f>
      </c>
      <c r="M151">
        <f>IF(AND(A151-CEILING(Assumptions!$E$29/30,1)&gt;=1,A151-CEILING(Assumptions!$E$29/30,1)&lt;=156),INDEX($E$2:$E$157,A151-CEILING(Assumptions!$E$29/30,1))*Assumptions!$B$29/100,0)</f>
      </c>
      <c r="N151">
        <f>IF(AND(A151-CEILING(Assumptions!$E$30/30,1)&gt;=1,A151-CEILING(Assumptions!$E$30/30,1)&lt;=156),INDEX($E$2:$E$157,A151-CEILING(Assumptions!$E$30/30,1))*Assumptions!$B$30/100,0)</f>
      </c>
      <c r="O151">
        <f>IF(AND(A151-CEILING(Assumptions!$E$31/30,1)&gt;=1,A151-CEILING(Assumptions!$E$31/30,1)&lt;=156),INDEX($E$2:$E$157,A151-CEILING(Assumptions!$E$31/30,1))*Assumptions!$B$31/100,0)</f>
      </c>
      <c r="P151">
        <f>K151+L151+M151+N151+O151</f>
      </c>
    </row>
    <row r="152" spans="1:16" x14ac:dyDescent="0.25">
      <c r="A152">
        <v>151</v>
      </c>
      <c r="B152">
        <v>13</v>
      </c>
      <c r="C152">
        <f>Assumptions!$B$5*Assumptions!$B$32*Assumptions!$B$6*D152</f>
      </c>
      <c r="D152">
        <f>IF(A152&lt;=3,Assumptions!$B$21,IF(A152&lt;=6,Assumptions!$B$22,IF(A152&lt;=12,Assumptions!$B$23,Assumptions!$B$24)))/100</f>
      </c>
      <c r="E152">
        <f>Assumptions!$B$5*Assumptions!$B$33*Assumptions!$B$6*D152</f>
      </c>
      <c r="F152">
        <f>Assumptions!$B$5*Assumptions!$B$7*Assumptions!$B$6*D152</f>
      </c>
      <c r="G152">
        <f>Assumptions!$B$8</f>
      </c>
      <c r="H152">
        <f>IF(INDEX(Assumptions!$B$35:$B$47,B152)&lt;&gt;"",INDEX(Assumptions!$B$35:$B$47,B152)/100*Assumptions!$B$2,IF(B152&lt;=Assumptions!$B$17,0,IF(B152&lt;=Assumptions!$B$17+Assumptions!$B$18,Assumptions!$B$19,Assumptions!$B$20)))/12</f>
      </c>
      <c r="I152">
        <f>IF(Assumptions!$B$12="Cash",0,IF(A152&lt;=Assumptions!$B$15,Monthly!$S$1,0))</f>
      </c>
      <c r="J152">
        <f>E152-F152-G152-H152-I152</f>
      </c>
      <c r="K152">
        <f>IF(AND(A152-CEILING(Assumptions!$E$27/30,1)&gt;=1,A152-CEILING(Assumptions!$E$27/30,1)&lt;=156),INDEX($E$2:$E$157,A152-CEILING(Assumptions!$E$27/30,1))*Assumptions!$B$27/100,0)</f>
      </c>
      <c r="L152">
        <f>IF(AND(A152-CEILING(Assumptions!$E$28/30,1)&gt;=1,A152-CEILING(Assumptions!$E$28/30,1)&lt;=156),INDEX($E$2:$E$157,A152-CEILING(Assumptions!$E$28/30,1))*Assumptions!$B$28/100,0)</f>
      </c>
      <c r="M152">
        <f>IF(AND(A152-CEILING(Assumptions!$E$29/30,1)&gt;=1,A152-CEILING(Assumptions!$E$29/30,1)&lt;=156),INDEX($E$2:$E$157,A152-CEILING(Assumptions!$E$29/30,1))*Assumptions!$B$29/100,0)</f>
      </c>
      <c r="N152">
        <f>IF(AND(A152-CEILING(Assumptions!$E$30/30,1)&gt;=1,A152-CEILING(Assumptions!$E$30/30,1)&lt;=156),INDEX($E$2:$E$157,A152-CEILING(Assumptions!$E$30/30,1))*Assumptions!$B$30/100,0)</f>
      </c>
      <c r="O152">
        <f>IF(AND(A152-CEILING(Assumptions!$E$31/30,1)&gt;=1,A152-CEILING(Assumptions!$E$31/30,1)&lt;=156),INDEX($E$2:$E$157,A152-CEILING(Assumptions!$E$31/30,1))*Assumptions!$B$31/100,0)</f>
      </c>
      <c r="P152">
        <f>K152+L152+M152+N152+O152</f>
      </c>
    </row>
    <row r="153" spans="1:16" x14ac:dyDescent="0.25">
      <c r="A153">
        <v>152</v>
      </c>
      <c r="B153">
        <v>13</v>
      </c>
      <c r="C153">
        <f>Assumptions!$B$5*Assumptions!$B$32*Assumptions!$B$6*D153</f>
      </c>
      <c r="D153">
        <f>IF(A153&lt;=3,Assumptions!$B$21,IF(A153&lt;=6,Assumptions!$B$22,IF(A153&lt;=12,Assumptions!$B$23,Assumptions!$B$24)))/100</f>
      </c>
      <c r="E153">
        <f>Assumptions!$B$5*Assumptions!$B$33*Assumptions!$B$6*D153</f>
      </c>
      <c r="F153">
        <f>Assumptions!$B$5*Assumptions!$B$7*Assumptions!$B$6*D153</f>
      </c>
      <c r="G153">
        <f>Assumptions!$B$8</f>
      </c>
      <c r="H153">
        <f>IF(INDEX(Assumptions!$B$35:$B$47,B153)&lt;&gt;"",INDEX(Assumptions!$B$35:$B$47,B153)/100*Assumptions!$B$2,IF(B153&lt;=Assumptions!$B$17,0,IF(B153&lt;=Assumptions!$B$17+Assumptions!$B$18,Assumptions!$B$19,Assumptions!$B$20)))/12</f>
      </c>
      <c r="I153">
        <f>IF(Assumptions!$B$12="Cash",0,IF(A153&lt;=Assumptions!$B$15,Monthly!$S$1,0))</f>
      </c>
      <c r="J153">
        <f>E153-F153-G153-H153-I153</f>
      </c>
      <c r="K153">
        <f>IF(AND(A153-CEILING(Assumptions!$E$27/30,1)&gt;=1,A153-CEILING(Assumptions!$E$27/30,1)&lt;=156),INDEX($E$2:$E$157,A153-CEILING(Assumptions!$E$27/30,1))*Assumptions!$B$27/100,0)</f>
      </c>
      <c r="L153">
        <f>IF(AND(A153-CEILING(Assumptions!$E$28/30,1)&gt;=1,A153-CEILING(Assumptions!$E$28/30,1)&lt;=156),INDEX($E$2:$E$157,A153-CEILING(Assumptions!$E$28/30,1))*Assumptions!$B$28/100,0)</f>
      </c>
      <c r="M153">
        <f>IF(AND(A153-CEILING(Assumptions!$E$29/30,1)&gt;=1,A153-CEILING(Assumptions!$E$29/30,1)&lt;=156),INDEX($E$2:$E$157,A153-CEILING(Assumptions!$E$29/30,1))*Assumptions!$B$29/100,0)</f>
      </c>
      <c r="N153">
        <f>IF(AND(A153-CEILING(Assumptions!$E$30/30,1)&gt;=1,A153-CEILING(Assumptions!$E$30/30,1)&lt;=156),INDEX($E$2:$E$157,A153-CEILING(Assumptions!$E$30/30,1))*Assumptions!$B$30/100,0)</f>
      </c>
      <c r="O153">
        <f>IF(AND(A153-CEILING(Assumptions!$E$31/30,1)&gt;=1,A153-CEILING(Assumptions!$E$31/30,1)&lt;=156),INDEX($E$2:$E$157,A153-CEILING(Assumptions!$E$31/30,1))*Assumptions!$B$31/100,0)</f>
      </c>
      <c r="P153">
        <f>K153+L153+M153+N153+O153</f>
      </c>
    </row>
    <row r="154" spans="1:16" x14ac:dyDescent="0.25">
      <c r="A154">
        <v>153</v>
      </c>
      <c r="B154">
        <v>13</v>
      </c>
      <c r="C154">
        <f>Assumptions!$B$5*Assumptions!$B$32*Assumptions!$B$6*D154</f>
      </c>
      <c r="D154">
        <f>IF(A154&lt;=3,Assumptions!$B$21,IF(A154&lt;=6,Assumptions!$B$22,IF(A154&lt;=12,Assumptions!$B$23,Assumptions!$B$24)))/100</f>
      </c>
      <c r="E154">
        <f>Assumptions!$B$5*Assumptions!$B$33*Assumptions!$B$6*D154</f>
      </c>
      <c r="F154">
        <f>Assumptions!$B$5*Assumptions!$B$7*Assumptions!$B$6*D154</f>
      </c>
      <c r="G154">
        <f>Assumptions!$B$8</f>
      </c>
      <c r="H154">
        <f>IF(INDEX(Assumptions!$B$35:$B$47,B154)&lt;&gt;"",INDEX(Assumptions!$B$35:$B$47,B154)/100*Assumptions!$B$2,IF(B154&lt;=Assumptions!$B$17,0,IF(B154&lt;=Assumptions!$B$17+Assumptions!$B$18,Assumptions!$B$19,Assumptions!$B$20)))/12</f>
      </c>
      <c r="I154">
        <f>IF(Assumptions!$B$12="Cash",0,IF(A154&lt;=Assumptions!$B$15,Monthly!$S$1,0))</f>
      </c>
      <c r="J154">
        <f>E154-F154-G154-H154-I154</f>
      </c>
      <c r="K154">
        <f>IF(AND(A154-CEILING(Assumptions!$E$27/30,1)&gt;=1,A154-CEILING(Assumptions!$E$27/30,1)&lt;=156),INDEX($E$2:$E$157,A154-CEILING(Assumptions!$E$27/30,1))*Assumptions!$B$27/100,0)</f>
      </c>
      <c r="L154">
        <f>IF(AND(A154-CEILING(Assumptions!$E$28/30,1)&gt;=1,A154-CEILING(Assumptions!$E$28/30,1)&lt;=156),INDEX($E$2:$E$157,A154-CEILING(Assumptions!$E$28/30,1))*Assumptions!$B$28/100,0)</f>
      </c>
      <c r="M154">
        <f>IF(AND(A154-CEILING(Assumptions!$E$29/30,1)&gt;=1,A154-CEILING(Assumptions!$E$29/30,1)&lt;=156),INDEX($E$2:$E$157,A154-CEILING(Assumptions!$E$29/30,1))*Assumptions!$B$29/100,0)</f>
      </c>
      <c r="N154">
        <f>IF(AND(A154-CEILING(Assumptions!$E$30/30,1)&gt;=1,A154-CEILING(Assumptions!$E$30/30,1)&lt;=156),INDEX($E$2:$E$157,A154-CEILING(Assumptions!$E$30/30,1))*Assumptions!$B$30/100,0)</f>
      </c>
      <c r="O154">
        <f>IF(AND(A154-CEILING(Assumptions!$E$31/30,1)&gt;=1,A154-CEILING(Assumptions!$E$31/30,1)&lt;=156),INDEX($E$2:$E$157,A154-CEILING(Assumptions!$E$31/30,1))*Assumptions!$B$31/100,0)</f>
      </c>
      <c r="P154">
        <f>K154+L154+M154+N154+O154</f>
      </c>
    </row>
    <row r="155" spans="1:16" x14ac:dyDescent="0.25">
      <c r="A155">
        <v>154</v>
      </c>
      <c r="B155">
        <v>13</v>
      </c>
      <c r="C155">
        <f>Assumptions!$B$5*Assumptions!$B$32*Assumptions!$B$6*D155</f>
      </c>
      <c r="D155">
        <f>IF(A155&lt;=3,Assumptions!$B$21,IF(A155&lt;=6,Assumptions!$B$22,IF(A155&lt;=12,Assumptions!$B$23,Assumptions!$B$24)))/100</f>
      </c>
      <c r="E155">
        <f>Assumptions!$B$5*Assumptions!$B$33*Assumptions!$B$6*D155</f>
      </c>
      <c r="F155">
        <f>Assumptions!$B$5*Assumptions!$B$7*Assumptions!$B$6*D155</f>
      </c>
      <c r="G155">
        <f>Assumptions!$B$8</f>
      </c>
      <c r="H155">
        <f>IF(INDEX(Assumptions!$B$35:$B$47,B155)&lt;&gt;"",INDEX(Assumptions!$B$35:$B$47,B155)/100*Assumptions!$B$2,IF(B155&lt;=Assumptions!$B$17,0,IF(B155&lt;=Assumptions!$B$17+Assumptions!$B$18,Assumptions!$B$19,Assumptions!$B$20)))/12</f>
      </c>
      <c r="I155">
        <f>IF(Assumptions!$B$12="Cash",0,IF(A155&lt;=Assumptions!$B$15,Monthly!$S$1,0))</f>
      </c>
      <c r="J155">
        <f>E155-F155-G155-H155-I155</f>
      </c>
      <c r="K155">
        <f>IF(AND(A155-CEILING(Assumptions!$E$27/30,1)&gt;=1,A155-CEILING(Assumptions!$E$27/30,1)&lt;=156),INDEX($E$2:$E$157,A155-CEILING(Assumptions!$E$27/30,1))*Assumptions!$B$27/100,0)</f>
      </c>
      <c r="L155">
        <f>IF(AND(A155-CEILING(Assumptions!$E$28/30,1)&gt;=1,A155-CEILING(Assumptions!$E$28/30,1)&lt;=156),INDEX($E$2:$E$157,A155-CEILING(Assumptions!$E$28/30,1))*Assumptions!$B$28/100,0)</f>
      </c>
      <c r="M155">
        <f>IF(AND(A155-CEILING(Assumptions!$E$29/30,1)&gt;=1,A155-CEILING(Assumptions!$E$29/30,1)&lt;=156),INDEX($E$2:$E$157,A155-CEILING(Assumptions!$E$29/30,1))*Assumptions!$B$29/100,0)</f>
      </c>
      <c r="N155">
        <f>IF(AND(A155-CEILING(Assumptions!$E$30/30,1)&gt;=1,A155-CEILING(Assumptions!$E$30/30,1)&lt;=156),INDEX($E$2:$E$157,A155-CEILING(Assumptions!$E$30/30,1))*Assumptions!$B$30/100,0)</f>
      </c>
      <c r="O155">
        <f>IF(AND(A155-CEILING(Assumptions!$E$31/30,1)&gt;=1,A155-CEILING(Assumptions!$E$31/30,1)&lt;=156),INDEX($E$2:$E$157,A155-CEILING(Assumptions!$E$31/30,1))*Assumptions!$B$31/100,0)</f>
      </c>
      <c r="P155">
        <f>K155+L155+M155+N155+O155</f>
      </c>
    </row>
    <row r="156" spans="1:16" x14ac:dyDescent="0.25">
      <c r="A156">
        <v>155</v>
      </c>
      <c r="B156">
        <v>13</v>
      </c>
      <c r="C156">
        <f>Assumptions!$B$5*Assumptions!$B$32*Assumptions!$B$6*D156</f>
      </c>
      <c r="D156">
        <f>IF(A156&lt;=3,Assumptions!$B$21,IF(A156&lt;=6,Assumptions!$B$22,IF(A156&lt;=12,Assumptions!$B$23,Assumptions!$B$24)))/100</f>
      </c>
      <c r="E156">
        <f>Assumptions!$B$5*Assumptions!$B$33*Assumptions!$B$6*D156</f>
      </c>
      <c r="F156">
        <f>Assumptions!$B$5*Assumptions!$B$7*Assumptions!$B$6*D156</f>
      </c>
      <c r="G156">
        <f>Assumptions!$B$8</f>
      </c>
      <c r="H156">
        <f>IF(INDEX(Assumptions!$B$35:$B$47,B156)&lt;&gt;"",INDEX(Assumptions!$B$35:$B$47,B156)/100*Assumptions!$B$2,IF(B156&lt;=Assumptions!$B$17,0,IF(B156&lt;=Assumptions!$B$17+Assumptions!$B$18,Assumptions!$B$19,Assumptions!$B$20)))/12</f>
      </c>
      <c r="I156">
        <f>IF(Assumptions!$B$12="Cash",0,IF(A156&lt;=Assumptions!$B$15,Monthly!$S$1,0))</f>
      </c>
      <c r="J156">
        <f>E156-F156-G156-H156-I156</f>
      </c>
      <c r="K156">
        <f>IF(AND(A156-CEILING(Assumptions!$E$27/30,1)&gt;=1,A156-CEILING(Assumptions!$E$27/30,1)&lt;=156),INDEX($E$2:$E$157,A156-CEILING(Assumptions!$E$27/30,1))*Assumptions!$B$27/100,0)</f>
      </c>
      <c r="L156">
        <f>IF(AND(A156-CEILING(Assumptions!$E$28/30,1)&gt;=1,A156-CEILING(Assumptions!$E$28/30,1)&lt;=156),INDEX($E$2:$E$157,A156-CEILING(Assumptions!$E$28/30,1))*Assumptions!$B$28/100,0)</f>
      </c>
      <c r="M156">
        <f>IF(AND(A156-CEILING(Assumptions!$E$29/30,1)&gt;=1,A156-CEILING(Assumptions!$E$29/30,1)&lt;=156),INDEX($E$2:$E$157,A156-CEILING(Assumptions!$E$29/30,1))*Assumptions!$B$29/100,0)</f>
      </c>
      <c r="N156">
        <f>IF(AND(A156-CEILING(Assumptions!$E$30/30,1)&gt;=1,A156-CEILING(Assumptions!$E$30/30,1)&lt;=156),INDEX($E$2:$E$157,A156-CEILING(Assumptions!$E$30/30,1))*Assumptions!$B$30/100,0)</f>
      </c>
      <c r="O156">
        <f>IF(AND(A156-CEILING(Assumptions!$E$31/30,1)&gt;=1,A156-CEILING(Assumptions!$E$31/30,1)&lt;=156),INDEX($E$2:$E$157,A156-CEILING(Assumptions!$E$31/30,1))*Assumptions!$B$31/100,0)</f>
      </c>
      <c r="P156">
        <f>K156+L156+M156+N156+O156</f>
      </c>
    </row>
    <row r="157" spans="1:16" x14ac:dyDescent="0.25">
      <c r="A157">
        <v>156</v>
      </c>
      <c r="B157">
        <v>13</v>
      </c>
      <c r="C157">
        <f>Assumptions!$B$5*Assumptions!$B$32*Assumptions!$B$6*D157</f>
      </c>
      <c r="D157">
        <f>IF(A157&lt;=3,Assumptions!$B$21,IF(A157&lt;=6,Assumptions!$B$22,IF(A157&lt;=12,Assumptions!$B$23,Assumptions!$B$24)))/100</f>
      </c>
      <c r="E157">
        <f>Assumptions!$B$5*Assumptions!$B$33*Assumptions!$B$6*D157</f>
      </c>
      <c r="F157">
        <f>Assumptions!$B$5*Assumptions!$B$7*Assumptions!$B$6*D157</f>
      </c>
      <c r="G157">
        <f>Assumptions!$B$8</f>
      </c>
      <c r="H157">
        <f>IF(INDEX(Assumptions!$B$35:$B$47,B157)&lt;&gt;"",INDEX(Assumptions!$B$35:$B$47,B157)/100*Assumptions!$B$2,IF(B157&lt;=Assumptions!$B$17,0,IF(B157&lt;=Assumptions!$B$17+Assumptions!$B$18,Assumptions!$B$19,Assumptions!$B$20)))/12</f>
      </c>
      <c r="I157">
        <f>IF(Assumptions!$B$12="Cash",0,IF(A157&lt;=Assumptions!$B$15,Monthly!$S$1,0))</f>
      </c>
      <c r="J157">
        <f>E157-F157-G157-H157-I157</f>
      </c>
      <c r="K157">
        <f>IF(AND(A157-CEILING(Assumptions!$E$27/30,1)&gt;=1,A157-CEILING(Assumptions!$E$27/30,1)&lt;=156),INDEX($E$2:$E$157,A157-CEILING(Assumptions!$E$27/30,1))*Assumptions!$B$27/100,0)</f>
      </c>
      <c r="L157">
        <f>IF(AND(A157-CEILING(Assumptions!$E$28/30,1)&gt;=1,A157-CEILING(Assumptions!$E$28/30,1)&lt;=156),INDEX($E$2:$E$157,A157-CEILING(Assumptions!$E$28/30,1))*Assumptions!$B$28/100,0)</f>
      </c>
      <c r="M157">
        <f>IF(AND(A157-CEILING(Assumptions!$E$29/30,1)&gt;=1,A157-CEILING(Assumptions!$E$29/30,1)&lt;=156),INDEX($E$2:$E$157,A157-CEILING(Assumptions!$E$29/30,1))*Assumptions!$B$29/100,0)</f>
      </c>
      <c r="N157">
        <f>IF(AND(A157-CEILING(Assumptions!$E$30/30,1)&gt;=1,A157-CEILING(Assumptions!$E$30/30,1)&lt;=156),INDEX($E$2:$E$157,A157-CEILING(Assumptions!$E$30/30,1))*Assumptions!$B$30/100,0)</f>
      </c>
      <c r="O157">
        <f>IF(AND(A157-CEILING(Assumptions!$E$31/30,1)&gt;=1,A157-CEILING(Assumptions!$E$31/30,1)&lt;=156),INDEX($E$2:$E$157,A157-CEILING(Assumptions!$E$31/30,1))*Assumptions!$B$31/100,0)</f>
      </c>
      <c r="P157">
        <f>K157+L157+M157+N157+O157</f>
      </c>
    </row>
    <row r="158" spans="1:16" x14ac:dyDescent="0.25">
      <c r="A158">
        <v>157</v>
      </c>
      <c r="K158">
        <f>IF(AND(A158-CEILING(Assumptions!$E$27/30,1)&gt;=1,A158-CEILING(Assumptions!$E$27/30,1)&lt;=156),INDEX($E$2:$E$157,A158-CEILING(Assumptions!$E$27/30,1))*Assumptions!$B$27/100,0)</f>
      </c>
      <c r="L158">
        <f>IF(AND(A158-CEILING(Assumptions!$E$28/30,1)&gt;=1,A158-CEILING(Assumptions!$E$28/30,1)&lt;=156),INDEX($E$2:$E$157,A158-CEILING(Assumptions!$E$28/30,1))*Assumptions!$B$28/100,0)</f>
      </c>
      <c r="M158">
        <f>IF(AND(A158-CEILING(Assumptions!$E$29/30,1)&gt;=1,A158-CEILING(Assumptions!$E$29/30,1)&lt;=156),INDEX($E$2:$E$157,A158-CEILING(Assumptions!$E$29/30,1))*Assumptions!$B$29/100,0)</f>
      </c>
      <c r="N158">
        <f>IF(AND(A158-CEILING(Assumptions!$E$30/30,1)&gt;=1,A158-CEILING(Assumptions!$E$30/30,1)&lt;=156),INDEX($E$2:$E$157,A158-CEILING(Assumptions!$E$30/30,1))*Assumptions!$B$30/100,0)</f>
      </c>
      <c r="O158">
        <f>IF(AND(A158-CEILING(Assumptions!$E$31/30,1)&gt;=1,A158-CEILING(Assumptions!$E$31/30,1)&lt;=156),INDEX($E$2:$E$157,A158-CEILING(Assumptions!$E$31/30,1))*Assumptions!$B$31/100,0)</f>
      </c>
      <c r="P158">
        <f>K158+L158+M158+N158+O158</f>
      </c>
    </row>
    <row r="159" spans="1:16" x14ac:dyDescent="0.25">
      <c r="A159">
        <v>158</v>
      </c>
      <c r="K159">
        <f>IF(AND(A159-CEILING(Assumptions!$E$27/30,1)&gt;=1,A159-CEILING(Assumptions!$E$27/30,1)&lt;=156),INDEX($E$2:$E$157,A159-CEILING(Assumptions!$E$27/30,1))*Assumptions!$B$27/100,0)</f>
      </c>
      <c r="L159">
        <f>IF(AND(A159-CEILING(Assumptions!$E$28/30,1)&gt;=1,A159-CEILING(Assumptions!$E$28/30,1)&lt;=156),INDEX($E$2:$E$157,A159-CEILING(Assumptions!$E$28/30,1))*Assumptions!$B$28/100,0)</f>
      </c>
      <c r="M159">
        <f>IF(AND(A159-CEILING(Assumptions!$E$29/30,1)&gt;=1,A159-CEILING(Assumptions!$E$29/30,1)&lt;=156),INDEX($E$2:$E$157,A159-CEILING(Assumptions!$E$29/30,1))*Assumptions!$B$29/100,0)</f>
      </c>
      <c r="N159">
        <f>IF(AND(A159-CEILING(Assumptions!$E$30/30,1)&gt;=1,A159-CEILING(Assumptions!$E$30/30,1)&lt;=156),INDEX($E$2:$E$157,A159-CEILING(Assumptions!$E$30/30,1))*Assumptions!$B$30/100,0)</f>
      </c>
      <c r="O159">
        <f>IF(AND(A159-CEILING(Assumptions!$E$31/30,1)&gt;=1,A159-CEILING(Assumptions!$E$31/30,1)&lt;=156),INDEX($E$2:$E$157,A159-CEILING(Assumptions!$E$31/30,1))*Assumptions!$B$31/100,0)</f>
      </c>
      <c r="P159">
        <f>K159+L159+M159+N159+O159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FormatPr defaultRowHeight="15" outlineLevelRow="0" outlineLevelCol="0" x14ac:dyDescent="55"/>
  <cols>
    <col min="1" max="1" width="26" customWidth="1"/>
    <col min="2" max="16" width="16" customWidth="1"/>
  </cols>
  <sheetData>
    <row r="1" spans="1:7" s="1" customFormat="1" x14ac:dyDescent="0.25">
      <c r="A1" s="1" t="s">
        <v>69</v>
      </c>
      <c r="B1" s="1" t="s">
        <v>54</v>
      </c>
      <c r="C1" s="1" t="s">
        <v>56</v>
      </c>
      <c r="D1" s="1" t="s">
        <v>70</v>
      </c>
      <c r="E1" s="1" t="s">
        <v>60</v>
      </c>
      <c r="F1" s="1" t="s">
        <v>61</v>
      </c>
      <c r="G1" s="1" t="s">
        <v>71</v>
      </c>
    </row>
    <row r="2" spans="1:7" x14ac:dyDescent="0.25">
      <c r="A2">
        <v>1</v>
      </c>
      <c r="B2">
        <f>SUM(Monthly!$C$2:$C$13)</f>
      </c>
      <c r="C2">
        <f>SUM(Monthly!$E$2:$E$13)</f>
      </c>
      <c r="D2">
        <f>SUM(Monthly!$F$2:$F$13)+SUM(Monthly!$G$2:$G$13)+SUM(Monthly!$H$2:$H$13)</f>
      </c>
      <c r="E2">
        <f>SUM(Monthly!$I$2:$I$13)</f>
      </c>
      <c r="F2">
        <f>SUM(Monthly!$J$2:$J$13)</f>
      </c>
      <c r="G2">
        <f>F2-Assumptions!$B$4</f>
      </c>
    </row>
    <row r="3" spans="1:7" x14ac:dyDescent="0.25">
      <c r="A3">
        <v>2</v>
      </c>
      <c r="B3">
        <f>SUM(Monthly!$C$14:$C$25)</f>
      </c>
      <c r="C3">
        <f>SUM(Monthly!$E$14:$E$25)</f>
      </c>
      <c r="D3">
        <f>SUM(Monthly!$F$14:$F$25)+SUM(Monthly!$G$14:$G$25)+SUM(Monthly!$H$14:$H$25)</f>
      </c>
      <c r="E3">
        <f>SUM(Monthly!$I$14:$I$25)</f>
      </c>
      <c r="F3">
        <f>SUM(Monthly!$J$14:$J$25)</f>
      </c>
      <c r="G3">
        <f>G2+F3</f>
      </c>
    </row>
    <row r="4" spans="1:7" x14ac:dyDescent="0.25">
      <c r="A4">
        <v>3</v>
      </c>
      <c r="B4">
        <f>SUM(Monthly!$C$26:$C$37)</f>
      </c>
      <c r="C4">
        <f>SUM(Monthly!$E$26:$E$37)</f>
      </c>
      <c r="D4">
        <f>SUM(Monthly!$F$26:$F$37)+SUM(Monthly!$G$26:$G$37)+SUM(Monthly!$H$26:$H$37)</f>
      </c>
      <c r="E4">
        <f>SUM(Monthly!$I$26:$I$37)</f>
      </c>
      <c r="F4">
        <f>SUM(Monthly!$J$26:$J$37)</f>
      </c>
      <c r="G4">
        <f>G3+F4</f>
      </c>
    </row>
    <row r="5" spans="1:7" x14ac:dyDescent="0.25">
      <c r="A5">
        <v>4</v>
      </c>
      <c r="B5">
        <f>SUM(Monthly!$C$38:$C$49)</f>
      </c>
      <c r="C5">
        <f>SUM(Monthly!$E$38:$E$49)</f>
      </c>
      <c r="D5">
        <f>SUM(Monthly!$F$38:$F$49)+SUM(Monthly!$G$38:$G$49)+SUM(Monthly!$H$38:$H$49)</f>
      </c>
      <c r="E5">
        <f>SUM(Monthly!$I$38:$I$49)</f>
      </c>
      <c r="F5">
        <f>SUM(Monthly!$J$38:$J$49)</f>
      </c>
      <c r="G5">
        <f>G4+F5</f>
      </c>
    </row>
    <row r="6" spans="1:7" x14ac:dyDescent="0.25">
      <c r="A6">
        <v>5</v>
      </c>
      <c r="B6">
        <f>SUM(Monthly!$C$50:$C$61)</f>
      </c>
      <c r="C6">
        <f>SUM(Monthly!$E$50:$E$61)</f>
      </c>
      <c r="D6">
        <f>SUM(Monthly!$F$50:$F$61)+SUM(Monthly!$G$50:$G$61)+SUM(Monthly!$H$50:$H$61)</f>
      </c>
      <c r="E6">
        <f>SUM(Monthly!$I$50:$I$61)</f>
      </c>
      <c r="F6">
        <f>SUM(Monthly!$J$50:$J$61)</f>
      </c>
      <c r="G6">
        <f>G5+F6</f>
      </c>
    </row>
    <row r="7" spans="1:7" x14ac:dyDescent="0.25">
      <c r="A7">
        <v>6</v>
      </c>
      <c r="B7">
        <f>SUM(Monthly!$C$62:$C$73)</f>
      </c>
      <c r="C7">
        <f>SUM(Monthly!$E$62:$E$73)</f>
      </c>
      <c r="D7">
        <f>SUM(Monthly!$F$62:$F$73)+SUM(Monthly!$G$62:$G$73)+SUM(Monthly!$H$62:$H$73)</f>
      </c>
      <c r="E7">
        <f>SUM(Monthly!$I$62:$I$73)</f>
      </c>
      <c r="F7">
        <f>SUM(Monthly!$J$62:$J$73)</f>
      </c>
      <c r="G7">
        <f>G6+F7</f>
      </c>
    </row>
    <row r="8" spans="1:7" x14ac:dyDescent="0.25">
      <c r="A8">
        <v>7</v>
      </c>
      <c r="B8">
        <f>SUM(Monthly!$C$74:$C$85)</f>
      </c>
      <c r="C8">
        <f>SUM(Monthly!$E$74:$E$85)</f>
      </c>
      <c r="D8">
        <f>SUM(Monthly!$F$74:$F$85)+SUM(Monthly!$G$74:$G$85)+SUM(Monthly!$H$74:$H$85)</f>
      </c>
      <c r="E8">
        <f>SUM(Monthly!$I$74:$I$85)</f>
      </c>
      <c r="F8">
        <f>SUM(Monthly!$J$74:$J$85)</f>
      </c>
      <c r="G8">
        <f>G7+F8</f>
      </c>
    </row>
    <row r="9" spans="1:7" x14ac:dyDescent="0.25">
      <c r="A9">
        <v>8</v>
      </c>
      <c r="B9">
        <f>SUM(Monthly!$C$86:$C$97)</f>
      </c>
      <c r="C9">
        <f>SUM(Monthly!$E$86:$E$97)</f>
      </c>
      <c r="D9">
        <f>SUM(Monthly!$F$86:$F$97)+SUM(Monthly!$G$86:$G$97)+SUM(Monthly!$H$86:$H$97)</f>
      </c>
      <c r="E9">
        <f>SUM(Monthly!$I$86:$I$97)</f>
      </c>
      <c r="F9">
        <f>SUM(Monthly!$J$86:$J$97)</f>
      </c>
      <c r="G9">
        <f>G8+F9</f>
      </c>
    </row>
    <row r="10" spans="1:7" x14ac:dyDescent="0.25">
      <c r="A10">
        <v>9</v>
      </c>
      <c r="B10">
        <f>SUM(Monthly!$C$98:$C$109)</f>
      </c>
      <c r="C10">
        <f>SUM(Monthly!$E$98:$E$109)</f>
      </c>
      <c r="D10">
        <f>SUM(Monthly!$F$98:$F$109)+SUM(Monthly!$G$98:$G$109)+SUM(Monthly!$H$98:$H$109)</f>
      </c>
      <c r="E10">
        <f>SUM(Monthly!$I$98:$I$109)</f>
      </c>
      <c r="F10">
        <f>SUM(Monthly!$J$98:$J$109)</f>
      </c>
      <c r="G10">
        <f>G9+F10</f>
      </c>
    </row>
    <row r="11" spans="1:7" x14ac:dyDescent="0.25">
      <c r="A11">
        <v>10</v>
      </c>
      <c r="B11">
        <f>SUM(Monthly!$C$110:$C$121)</f>
      </c>
      <c r="C11">
        <f>SUM(Monthly!$E$110:$E$121)</f>
      </c>
      <c r="D11">
        <f>SUM(Monthly!$F$110:$F$121)+SUM(Monthly!$G$110:$G$121)+SUM(Monthly!$H$110:$H$121)</f>
      </c>
      <c r="E11">
        <f>SUM(Monthly!$I$110:$I$121)</f>
      </c>
      <c r="F11">
        <f>SUM(Monthly!$J$110:$J$121)</f>
      </c>
      <c r="G11">
        <f>G10+F11</f>
      </c>
    </row>
    <row r="12" spans="1:7" x14ac:dyDescent="0.25">
      <c r="A12">
        <v>11</v>
      </c>
      <c r="B12">
        <f>SUM(Monthly!$C$122:$C$133)</f>
      </c>
      <c r="C12">
        <f>SUM(Monthly!$E$122:$E$133)</f>
      </c>
      <c r="D12">
        <f>SUM(Monthly!$F$122:$F$133)+SUM(Monthly!$G$122:$G$133)+SUM(Monthly!$H$122:$H$133)</f>
      </c>
      <c r="E12">
        <f>SUM(Monthly!$I$122:$I$133)</f>
      </c>
      <c r="F12">
        <f>SUM(Monthly!$J$122:$J$133)</f>
      </c>
      <c r="G12">
        <f>G11+F12</f>
      </c>
    </row>
    <row r="13" spans="1:7" x14ac:dyDescent="0.25">
      <c r="A13">
        <v>12</v>
      </c>
      <c r="B13">
        <f>SUM(Monthly!$C$134:$C$145)</f>
      </c>
      <c r="C13">
        <f>SUM(Monthly!$E$134:$E$145)</f>
      </c>
      <c r="D13">
        <f>SUM(Monthly!$F$134:$F$145)+SUM(Monthly!$G$134:$G$145)+SUM(Monthly!$H$134:$H$145)</f>
      </c>
      <c r="E13">
        <f>SUM(Monthly!$I$134:$I$145)</f>
      </c>
      <c r="F13">
        <f>SUM(Monthly!$J$134:$J$145)</f>
      </c>
      <c r="G13">
        <f>G12+F13</f>
      </c>
    </row>
    <row r="14" spans="1:7" x14ac:dyDescent="0.25">
      <c r="A14">
        <v>13</v>
      </c>
      <c r="B14">
        <f>SUM(Monthly!$C$146:$C$157)</f>
      </c>
      <c r="C14">
        <f>SUM(Monthly!$E$146:$E$157)</f>
      </c>
      <c r="D14">
        <f>SUM(Monthly!$F$146:$F$157)+SUM(Monthly!$G$146:$G$157)+SUM(Monthly!$H$146:$H$157)</f>
      </c>
      <c r="E14">
        <f>SUM(Monthly!$I$146:$I$157)</f>
      </c>
      <c r="F14">
        <f>SUM(Monthly!$J$146:$J$157)</f>
      </c>
      <c r="G14">
        <f>G13+F14</f>
      </c>
    </row>
    <row r="16" spans="1:2" x14ac:dyDescent="0.25">
      <c r="A16" t="s">
        <v>72</v>
      </c>
      <c r="B16">
        <f>NPV(Assumptions!$B$10/100,F2:F14)-Assumptions!$B$4</f>
      </c>
    </row>
    <row r="17" spans="1:21" x14ac:dyDescent="0.25">
      <c r="A17" t="s">
        <v>73</v>
      </c>
      <c r="B17">
        <f>IRR($H$17:$U$17)</f>
      </c>
      <c r="H17">
        <f>-Assumptions!$B$4</f>
      </c>
      <c r="I17">
        <f>F2</f>
      </c>
      <c r="J17">
        <f>F3</f>
      </c>
      <c r="K17">
        <f>F4</f>
      </c>
      <c r="L17">
        <f>F5</f>
      </c>
      <c r="M17">
        <f>F6</f>
      </c>
      <c r="N17">
        <f>F7</f>
      </c>
      <c r="O17">
        <f>F8</f>
      </c>
      <c r="P17">
        <f>F9</f>
      </c>
      <c r="Q17">
        <f>F10</f>
      </c>
      <c r="R17">
        <f>F11</f>
      </c>
      <c r="S17">
        <f>F12</f>
      </c>
      <c r="T17">
        <f>F13</f>
      </c>
      <c r="U17">
        <f>F14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6" customWidth="1"/>
    <col min="2" max="16" width="16" customWidth="1"/>
  </cols>
  <sheetData>
    <row r="1" spans="1:2" s="1" customFormat="1" x14ac:dyDescent="0.25">
      <c r="A1" s="1" t="s">
        <v>74</v>
      </c>
      <c r="B1" s="1">
        <f>Assumptions!$B$33-Assumptions!$B$7</f>
      </c>
    </row>
    <row r="2" spans="1:2" x14ac:dyDescent="0.25">
      <c r="A2" t="s">
        <v>75</v>
      </c>
      <c r="B2">
        <f>Assumptions!$B$5</f>
      </c>
    </row>
    <row r="3" spans="1:2" x14ac:dyDescent="0.25">
      <c r="A3" t="s">
        <v>76</v>
      </c>
      <c r="B3">
        <f>IF($B$1&lt;=0,"Undefined — contribution margin is zero or negative",Assumptions!$B$8/$B$1/Assumptions!$B$6)</f>
      </c>
    </row>
    <row r="4" spans="1:2" x14ac:dyDescent="0.25">
      <c r="A4" t="s">
        <v>77</v>
      </c>
      <c r="B4">
        <f>IF(ISNUMBER($B$3),$B$2&gt;=$B$3,"N/A")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6" customWidth="1"/>
    <col min="2" max="16" width="16" customWidth="1"/>
  </cols>
  <sheetData>
    <row r="1" spans="1:3" s="1" customFormat="1" x14ac:dyDescent="0.25">
      <c r="A1" s="1" t="s">
        <v>69</v>
      </c>
      <c r="B1" s="1" t="s">
        <v>78</v>
      </c>
      <c r="C1" s="1" t="s">
        <v>79</v>
      </c>
    </row>
    <row r="2" spans="1:3" x14ac:dyDescent="0.25">
      <c r="A2">
        <v>1</v>
      </c>
      <c r="B2">
        <f>IF(Assumptions!$B$35&lt;&gt;"","Override",IF(1&lt;=Assumptions!$B$17,"Warranty",IF(1&lt;=Assumptions!$B$17+Assumptions!$B$18,"CMC","AMC")))</f>
      </c>
      <c r="C2">
        <f>IF(Assumptions!$B$35&lt;&gt;"",Assumptions!$B$35/100*Assumptions!$B$2,IF(1&lt;=Assumptions!$B$17,0,IF(1&lt;=Assumptions!$B$17+Assumptions!$B$18,Assumptions!$B$19,Assumptions!$B$20)))</f>
      </c>
    </row>
    <row r="3" spans="1:3" x14ac:dyDescent="0.25">
      <c r="A3">
        <v>2</v>
      </c>
      <c r="B3">
        <f>IF(Assumptions!$B$36&lt;&gt;"","Override",IF(2&lt;=Assumptions!$B$17,"Warranty",IF(2&lt;=Assumptions!$B$17+Assumptions!$B$18,"CMC","AMC")))</f>
      </c>
      <c r="C3">
        <f>IF(Assumptions!$B$36&lt;&gt;"",Assumptions!$B$36/100*Assumptions!$B$2,IF(2&lt;=Assumptions!$B$17,0,IF(2&lt;=Assumptions!$B$17+Assumptions!$B$18,Assumptions!$B$19,Assumptions!$B$20)))</f>
      </c>
    </row>
    <row r="4" spans="1:3" x14ac:dyDescent="0.25">
      <c r="A4">
        <v>3</v>
      </c>
      <c r="B4">
        <f>IF(Assumptions!$B$37&lt;&gt;"","Override",IF(3&lt;=Assumptions!$B$17,"Warranty",IF(3&lt;=Assumptions!$B$17+Assumptions!$B$18,"CMC","AMC")))</f>
      </c>
      <c r="C4">
        <f>IF(Assumptions!$B$37&lt;&gt;"",Assumptions!$B$37/100*Assumptions!$B$2,IF(3&lt;=Assumptions!$B$17,0,IF(3&lt;=Assumptions!$B$17+Assumptions!$B$18,Assumptions!$B$19,Assumptions!$B$20)))</f>
      </c>
    </row>
    <row r="5" spans="1:3" x14ac:dyDescent="0.25">
      <c r="A5">
        <v>4</v>
      </c>
      <c r="B5">
        <f>IF(Assumptions!$B$38&lt;&gt;"","Override",IF(4&lt;=Assumptions!$B$17,"Warranty",IF(4&lt;=Assumptions!$B$17+Assumptions!$B$18,"CMC","AMC")))</f>
      </c>
      <c r="C5">
        <f>IF(Assumptions!$B$38&lt;&gt;"",Assumptions!$B$38/100*Assumptions!$B$2,IF(4&lt;=Assumptions!$B$17,0,IF(4&lt;=Assumptions!$B$17+Assumptions!$B$18,Assumptions!$B$19,Assumptions!$B$20)))</f>
      </c>
    </row>
    <row r="6" spans="1:3" x14ac:dyDescent="0.25">
      <c r="A6">
        <v>5</v>
      </c>
      <c r="B6">
        <f>IF(Assumptions!$B$39&lt;&gt;"","Override",IF(5&lt;=Assumptions!$B$17,"Warranty",IF(5&lt;=Assumptions!$B$17+Assumptions!$B$18,"CMC","AMC")))</f>
      </c>
      <c r="C6">
        <f>IF(Assumptions!$B$39&lt;&gt;"",Assumptions!$B$39/100*Assumptions!$B$2,IF(5&lt;=Assumptions!$B$17,0,IF(5&lt;=Assumptions!$B$17+Assumptions!$B$18,Assumptions!$B$19,Assumptions!$B$20)))</f>
      </c>
    </row>
    <row r="7" spans="1:3" x14ac:dyDescent="0.25">
      <c r="A7">
        <v>6</v>
      </c>
      <c r="B7">
        <f>IF(Assumptions!$B$40&lt;&gt;"","Override",IF(6&lt;=Assumptions!$B$17,"Warranty",IF(6&lt;=Assumptions!$B$17+Assumptions!$B$18,"CMC","AMC")))</f>
      </c>
      <c r="C7">
        <f>IF(Assumptions!$B$40&lt;&gt;"",Assumptions!$B$40/100*Assumptions!$B$2,IF(6&lt;=Assumptions!$B$17,0,IF(6&lt;=Assumptions!$B$17+Assumptions!$B$18,Assumptions!$B$19,Assumptions!$B$20)))</f>
      </c>
    </row>
    <row r="8" spans="1:3" x14ac:dyDescent="0.25">
      <c r="A8">
        <v>7</v>
      </c>
      <c r="B8">
        <f>IF(Assumptions!$B$41&lt;&gt;"","Override",IF(7&lt;=Assumptions!$B$17,"Warranty",IF(7&lt;=Assumptions!$B$17+Assumptions!$B$18,"CMC","AMC")))</f>
      </c>
      <c r="C8">
        <f>IF(Assumptions!$B$41&lt;&gt;"",Assumptions!$B$41/100*Assumptions!$B$2,IF(7&lt;=Assumptions!$B$17,0,IF(7&lt;=Assumptions!$B$17+Assumptions!$B$18,Assumptions!$B$19,Assumptions!$B$20)))</f>
      </c>
    </row>
    <row r="9" spans="1:3" x14ac:dyDescent="0.25">
      <c r="A9">
        <v>8</v>
      </c>
      <c r="B9">
        <f>IF(Assumptions!$B$42&lt;&gt;"","Override",IF(8&lt;=Assumptions!$B$17,"Warranty",IF(8&lt;=Assumptions!$B$17+Assumptions!$B$18,"CMC","AMC")))</f>
      </c>
      <c r="C9">
        <f>IF(Assumptions!$B$42&lt;&gt;"",Assumptions!$B$42/100*Assumptions!$B$2,IF(8&lt;=Assumptions!$B$17,0,IF(8&lt;=Assumptions!$B$17+Assumptions!$B$18,Assumptions!$B$19,Assumptions!$B$20)))</f>
      </c>
    </row>
    <row r="10" spans="1:3" x14ac:dyDescent="0.25">
      <c r="A10">
        <v>9</v>
      </c>
      <c r="B10">
        <f>IF(Assumptions!$B$43&lt;&gt;"","Override",IF(9&lt;=Assumptions!$B$17,"Warranty",IF(9&lt;=Assumptions!$B$17+Assumptions!$B$18,"CMC","AMC")))</f>
      </c>
      <c r="C10">
        <f>IF(Assumptions!$B$43&lt;&gt;"",Assumptions!$B$43/100*Assumptions!$B$2,IF(9&lt;=Assumptions!$B$17,0,IF(9&lt;=Assumptions!$B$17+Assumptions!$B$18,Assumptions!$B$19,Assumptions!$B$20)))</f>
      </c>
    </row>
    <row r="11" spans="1:3" x14ac:dyDescent="0.25">
      <c r="A11">
        <v>10</v>
      </c>
      <c r="B11">
        <f>IF(Assumptions!$B$44&lt;&gt;"","Override",IF(10&lt;=Assumptions!$B$17,"Warranty",IF(10&lt;=Assumptions!$B$17+Assumptions!$B$18,"CMC","AMC")))</f>
      </c>
      <c r="C11">
        <f>IF(Assumptions!$B$44&lt;&gt;"",Assumptions!$B$44/100*Assumptions!$B$2,IF(10&lt;=Assumptions!$B$17,0,IF(10&lt;=Assumptions!$B$17+Assumptions!$B$18,Assumptions!$B$19,Assumptions!$B$20)))</f>
      </c>
    </row>
    <row r="12" spans="1:3" x14ac:dyDescent="0.25">
      <c r="A12">
        <v>11</v>
      </c>
      <c r="B12">
        <f>IF(Assumptions!$B$45&lt;&gt;"","Override",IF(11&lt;=Assumptions!$B$17,"Warranty",IF(11&lt;=Assumptions!$B$17+Assumptions!$B$18,"CMC","AMC")))</f>
      </c>
      <c r="C12">
        <f>IF(Assumptions!$B$45&lt;&gt;"",Assumptions!$B$45/100*Assumptions!$B$2,IF(11&lt;=Assumptions!$B$17,0,IF(11&lt;=Assumptions!$B$17+Assumptions!$B$18,Assumptions!$B$19,Assumptions!$B$20)))</f>
      </c>
    </row>
    <row r="13" spans="1:3" x14ac:dyDescent="0.25">
      <c r="A13">
        <v>12</v>
      </c>
      <c r="B13">
        <f>IF(Assumptions!$B$46&lt;&gt;"","Override",IF(12&lt;=Assumptions!$B$17,"Warranty",IF(12&lt;=Assumptions!$B$17+Assumptions!$B$18,"CMC","AMC")))</f>
      </c>
      <c r="C13">
        <f>IF(Assumptions!$B$46&lt;&gt;"",Assumptions!$B$46/100*Assumptions!$B$2,IF(12&lt;=Assumptions!$B$17,0,IF(12&lt;=Assumptions!$B$17+Assumptions!$B$18,Assumptions!$B$19,Assumptions!$B$20)))</f>
      </c>
    </row>
    <row r="14" spans="1:3" x14ac:dyDescent="0.25">
      <c r="A14">
        <v>13</v>
      </c>
      <c r="B14">
        <f>IF(Assumptions!$B$47&lt;&gt;"","Override",IF(13&lt;=Assumptions!$B$17,"Warranty",IF(13&lt;=Assumptions!$B$17+Assumptions!$B$18,"CMC","AMC")))</f>
      </c>
      <c r="C14">
        <f>IF(Assumptions!$B$47&lt;&gt;"",Assumptions!$B$47/100*Assumptions!$B$2,IF(13&lt;=Assumptions!$B$17,0,IF(13&lt;=Assumptions!$B$17+Assumptions!$B$18,Assumptions!$B$19,Assumptions!$B$20)))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6" customWidth="1"/>
    <col min="2" max="16" width="16" customWidth="1"/>
  </cols>
  <sheetData>
    <row r="1" spans="1:5" s="1" customFormat="1" x14ac:dyDescent="0.25">
      <c r="A1" s="1" t="s">
        <v>69</v>
      </c>
      <c r="B1" s="1" t="s">
        <v>71</v>
      </c>
      <c r="D1" s="1" t="s">
        <v>75</v>
      </c>
      <c r="E1" s="1" t="s">
        <v>76</v>
      </c>
    </row>
    <row r="2" spans="1:5" x14ac:dyDescent="0.25">
      <c r="A2">
        <v>1</v>
      </c>
      <c r="B2">
        <f>'Annual Summary'!G2</f>
      </c>
      <c r="D2">
        <f>'Break-even Analysis'!B2</f>
      </c>
      <c r="E2">
        <f>'Break-even Analysis'!B3</f>
      </c>
    </row>
    <row r="3" spans="1:2" x14ac:dyDescent="0.25">
      <c r="A3">
        <v>2</v>
      </c>
      <c r="B3">
        <f>'Annual Summary'!G3</f>
      </c>
    </row>
    <row r="4" spans="1:2" x14ac:dyDescent="0.25">
      <c r="A4">
        <v>3</v>
      </c>
      <c r="B4">
        <f>'Annual Summary'!G4</f>
      </c>
    </row>
    <row r="5" spans="1:2" x14ac:dyDescent="0.25">
      <c r="A5">
        <v>4</v>
      </c>
      <c r="B5">
        <f>'Annual Summary'!G5</f>
      </c>
    </row>
    <row r="6" spans="1:2" x14ac:dyDescent="0.25">
      <c r="A6">
        <v>5</v>
      </c>
      <c r="B6">
        <f>'Annual Summary'!G6</f>
      </c>
    </row>
    <row r="7" spans="1:2" x14ac:dyDescent="0.25">
      <c r="A7">
        <v>6</v>
      </c>
      <c r="B7">
        <f>'Annual Summary'!G7</f>
      </c>
    </row>
    <row r="8" spans="1:2" x14ac:dyDescent="0.25">
      <c r="A8">
        <v>7</v>
      </c>
      <c r="B8">
        <f>'Annual Summary'!G8</f>
      </c>
    </row>
    <row r="9" spans="1:2" x14ac:dyDescent="0.25">
      <c r="A9">
        <v>8</v>
      </c>
      <c r="B9">
        <f>'Annual Summary'!G9</f>
      </c>
    </row>
    <row r="10" spans="1:2" x14ac:dyDescent="0.25">
      <c r="A10">
        <v>9</v>
      </c>
      <c r="B10">
        <f>'Annual Summary'!G10</f>
      </c>
    </row>
    <row r="11" spans="1:2" x14ac:dyDescent="0.25">
      <c r="A11">
        <v>10</v>
      </c>
      <c r="B11">
        <f>'Annual Summary'!G11</f>
      </c>
    </row>
    <row r="12" spans="1:2" x14ac:dyDescent="0.25">
      <c r="A12">
        <v>11</v>
      </c>
      <c r="B12">
        <f>'Annual Summary'!G12</f>
      </c>
    </row>
    <row r="13" spans="1:2" x14ac:dyDescent="0.25">
      <c r="A13">
        <v>12</v>
      </c>
      <c r="B13">
        <f>'Annual Summary'!G13</f>
      </c>
    </row>
    <row r="14" spans="1:2" x14ac:dyDescent="0.25">
      <c r="A14">
        <v>13</v>
      </c>
      <c r="B14">
        <f>'Annual Summary'!G14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customWidth="1"/>
    <col min="2" max="16" width="16" customWidth="1"/>
  </cols>
  <sheetData>
    <row r="1" spans="1:2" s="1" customFormat="1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83</v>
      </c>
    </row>
    <row r="3" spans="1:2" x14ac:dyDescent="0.25">
      <c r="A3" t="s">
        <v>37</v>
      </c>
      <c r="B3" t="s">
        <v>84</v>
      </c>
    </row>
    <row r="4" spans="1:2" x14ac:dyDescent="0.25">
      <c r="A4" t="s">
        <v>74</v>
      </c>
      <c r="B4" t="s">
        <v>85</v>
      </c>
    </row>
    <row r="5" spans="1:2" x14ac:dyDescent="0.25">
      <c r="A5" t="s">
        <v>76</v>
      </c>
      <c r="B5" t="s">
        <v>86</v>
      </c>
    </row>
    <row r="6" spans="1:2" x14ac:dyDescent="0.25">
      <c r="A6" t="s">
        <v>87</v>
      </c>
      <c r="B6" t="s">
        <v>88</v>
      </c>
    </row>
    <row r="7" spans="1:2" x14ac:dyDescent="0.25">
      <c r="A7" t="s">
        <v>89</v>
      </c>
      <c r="B7" t="s">
        <v>90</v>
      </c>
    </row>
    <row r="8" spans="1:2" x14ac:dyDescent="0.25">
      <c r="A8" t="s">
        <v>72</v>
      </c>
      <c r="B8" t="s">
        <v>91</v>
      </c>
    </row>
    <row r="9" spans="1:2" x14ac:dyDescent="0.25">
      <c r="A9" t="s">
        <v>73</v>
      </c>
      <c r="B9" t="s">
        <v>92</v>
      </c>
    </row>
    <row r="10" spans="1:2" x14ac:dyDescent="0.25">
      <c r="A10" t="s">
        <v>93</v>
      </c>
      <c r="B10" t="s">
        <v>94</v>
      </c>
    </row>
    <row r="11" spans="1:2" x14ac:dyDescent="0.25">
      <c r="A11" t="s">
        <v>95</v>
      </c>
      <c r="B1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Monthly</vt:lpstr>
      <vt:lpstr>Annual Summary</vt:lpstr>
      <vt:lpstr>Break-even Analysis</vt:lpstr>
      <vt:lpstr>Maintenance Schedule</vt:lpstr>
      <vt:lpstr>Charts</vt:lpstr>
      <vt:lpstr>Formula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CapexIQ</dc:creator>
  <dc:title/>
  <dc:subject/>
  <dc:description/>
  <cp:keywords/>
  <cp:category/>
  <cp:lastModifiedBy>Unknown</cp:lastModifiedBy>
  <dcterms:created xsi:type="dcterms:W3CDTF">2026-08-27T19:53:36Z</dcterms:created>
  <dcterms:modified xsi:type="dcterms:W3CDTF">2026-08-27T19:53:36Z</dcterms:modified>
</cp:coreProperties>
</file>