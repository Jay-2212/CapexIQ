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umptions" state="visible" r:id="rId4"/>
    <sheet sheetId="2" name="Monthly" state="visible" r:id="rId5"/>
    <sheet sheetId="3" name="Annual Summary" state="visible" r:id="rId6"/>
    <sheet sheetId="4" name="Break-even Analysis" state="visible" r:id="rId7"/>
    <sheet sheetId="5" name="Maintenance Schedule" state="visible" r:id="rId8"/>
    <sheet sheetId="6" name="Charts" state="visible" r:id="rId9"/>
    <sheet sheetId="7" name="Formula Notes" state="visible" r:id="rId10"/>
  </sheets>
  <definedNames>
    <definedName name="_xlnm.Print_Area" localSheetId="0">'Assumptions'!$A1:$E47</definedName>
    <definedName name="_xlnm.Print_Titles" localSheetId="0">'Assumptions'!$1:$1</definedName>
    <definedName name="_xlnm.Print_Area" localSheetId="1">'Monthly'!$A1:$P159</definedName>
    <definedName name="_xlnm.Print_Titles" localSheetId="1">'Monthly'!$1:$1</definedName>
    <definedName name="_xlnm.Print_Area" localSheetId="2">'Annual Summary'!$A1:$G17</definedName>
    <definedName name="_xlnm.Print_Titles" localSheetId="2">'Annual Summary'!$1:$1</definedName>
    <definedName name="_xlnm.Print_Area" localSheetId="3">'Break-even Analysis'!$A1:$B4</definedName>
    <definedName name="_xlnm.Print_Titles" localSheetId="3">'Break-even Analysis'!$1:$1</definedName>
    <definedName name="_xlnm.Print_Area" localSheetId="4">'Maintenance Schedule'!$A1:$C14</definedName>
    <definedName name="_xlnm.Print_Titles" localSheetId="4">'Maintenance Schedule'!$1:$1</definedName>
    <definedName name="_xlnm.Print_Area" localSheetId="5">'Charts'!$A1:$E14</definedName>
    <definedName name="_xlnm.Print_Titles" localSheetId="5">'Charts'!$1:$1</definedName>
    <definedName name="_xlnm.Print_Area" localSheetId="6">'Formula Notes'!$A1:$B11</definedName>
    <definedName name="_xlnm.Print_Titles" localSheetId="6">'Formula Notes'!$1:$1</definedName>
  </definedNames>
  <calcPr calcId="171027"/>
</workbook>
</file>

<file path=xl/sharedStrings.xml><?xml version="1.0" encoding="utf-8"?>
<sst xmlns="http://schemas.openxmlformats.org/spreadsheetml/2006/main" count="111" uniqueCount="97">
  <si>
    <t>CapexIQ — Assumptions</t>
  </si>
  <si>
    <t>Purchase cost</t>
  </si>
  <si>
    <t>Installation cost</t>
  </si>
  <si>
    <t>Initial investment</t>
  </si>
  <si>
    <t>Usage per day</t>
  </si>
  <si>
    <t>Working days per month</t>
  </si>
  <si>
    <t>Variable cost per use</t>
  </si>
  <si>
    <t>Fixed cost per month</t>
  </si>
  <si>
    <t>Useful life (years)</t>
  </si>
  <si>
    <t>Discount rate (%)</t>
  </si>
  <si>
    <t>Salvage value (%)</t>
  </si>
  <si>
    <t>Financing type</t>
  </si>
  <si>
    <t>Cash</t>
  </si>
  <si>
    <t>Loan down payment</t>
  </si>
  <si>
    <t>Loan interest rate (%)</t>
  </si>
  <si>
    <t>Loan/lease tenure (months)</t>
  </si>
  <si>
    <t>Lease rental per month</t>
  </si>
  <si>
    <t>Warranty years</t>
  </si>
  <si>
    <t>CMC years</t>
  </si>
  <si>
    <t>CMC annual cost</t>
  </si>
  <si>
    <t>AMC annual cost</t>
  </si>
  <si>
    <t>Ramp: months 1-3 (%)</t>
  </si>
  <si>
    <t>Ramp: months 4-6 (%)</t>
  </si>
  <si>
    <t>Ramp: months 7-12 (%)</t>
  </si>
  <si>
    <t>Ramp: year 2+ (%)</t>
  </si>
  <si>
    <t>Payer mix</t>
  </si>
  <si>
    <t>Payer</t>
  </si>
  <si>
    <t>Share of volume %</t>
  </si>
  <si>
    <t>Billed tariff (₹)</t>
  </si>
  <si>
    <t>Realization % (post-deduction)</t>
  </si>
  <si>
    <t>Collection delay (days)</t>
  </si>
  <si>
    <t>Private cash</t>
  </si>
  <si>
    <t>Insurance / TPA</t>
  </si>
  <si>
    <t>Corporate credit</t>
  </si>
  <si>
    <t>PM-JAY / government</t>
  </si>
  <si>
    <t>Other</t>
  </si>
  <si>
    <t>Billed per use (weighted)</t>
  </si>
  <si>
    <t>Realized revenue per use</t>
  </si>
  <si>
    <t>Maintenance overrides (%, blank = use standard schedule)</t>
  </si>
  <si>
    <t>Year 1 override</t>
  </si>
  <si>
    <t>Year 2 override</t>
  </si>
  <si>
    <t>Year 3 override</t>
  </si>
  <si>
    <t>Year 4 override</t>
  </si>
  <si>
    <t>Year 5 override</t>
  </si>
  <si>
    <t>Year 6 override</t>
  </si>
  <si>
    <t>Year 7 override</t>
  </si>
  <si>
    <t>Year 8 override</t>
  </si>
  <si>
    <t>Year 9 override</t>
  </si>
  <si>
    <t>Year 10 override</t>
  </si>
  <si>
    <t>Year 11 override</t>
  </si>
  <si>
    <t>Year 12 override</t>
  </si>
  <si>
    <t>Year 13 override</t>
  </si>
  <si>
    <t>Month #</t>
  </si>
  <si>
    <t>Year #</t>
  </si>
  <si>
    <t>Billed revenue</t>
  </si>
  <si>
    <t>Ramp %</t>
  </si>
  <si>
    <t>Realized revenue</t>
  </si>
  <si>
    <t>Variable cost</t>
  </si>
  <si>
    <t>Fixed cost</t>
  </si>
  <si>
    <t>Maintenance cost</t>
  </si>
  <si>
    <t>EMI / lease</t>
  </si>
  <si>
    <t>Net cash flow after financing</t>
  </si>
  <si>
    <t>Cash received — Private cash</t>
  </si>
  <si>
    <t>Cash received — Insurance / TPA</t>
  </si>
  <si>
    <t>Cash received — Corporate credit</t>
  </si>
  <si>
    <t>Cash received — PM-JAY / government</t>
  </si>
  <si>
    <t>Cash received — Other</t>
  </si>
  <si>
    <t>Cash received — Total</t>
  </si>
  <si>
    <t>Monthly payment (EMI/lease)</t>
  </si>
  <si>
    <t>Year</t>
  </si>
  <si>
    <t>Operating cost</t>
  </si>
  <si>
    <t>Cumulative cash position</t>
  </si>
  <si>
    <t>NPV</t>
  </si>
  <si>
    <t>IRR</t>
  </si>
  <si>
    <t>Contribution per use</t>
  </si>
  <si>
    <t>Expected usage per day</t>
  </si>
  <si>
    <t>Break-even usage per day</t>
  </si>
  <si>
    <t>Clears break-even</t>
  </si>
  <si>
    <t>Coverage</t>
  </si>
  <si>
    <t>Annual cost</t>
  </si>
  <si>
    <t>Formula</t>
  </si>
  <si>
    <t>Description</t>
  </si>
  <si>
    <t>Billed monthly revenue</t>
  </si>
  <si>
    <t>Usage per day x Average billed revenue per use x Working days per month x Ramp % (same ramp as realized revenue)</t>
  </si>
  <si>
    <t>Volume-weighted average across payer types of (share % x tariff x realization %)</t>
  </si>
  <si>
    <t>Realized revenue per use - Variable cost per use</t>
  </si>
  <si>
    <t>Fixed monthly cost / Contribution per use / Working days per month</t>
  </si>
  <si>
    <t>Maintenance schedule</t>
  </si>
  <si>
    <t>Warranty (0 cost) -&gt; CMC (flat annual cost) -&gt; AMC (flat annual cost), by year</t>
  </si>
  <si>
    <t>EMI (loan)</t>
  </si>
  <si>
    <t>Standard amortizing-loan formula; Excel's native PMT function</t>
  </si>
  <si>
    <t>Sum of discounted cash flows minus the initial investment; Excel's native NPV function</t>
  </si>
  <si>
    <t>The discount rate at which NPV = 0; Excel's native IRR function</t>
  </si>
  <si>
    <t>Cash received by month</t>
  </si>
  <si>
    <t>Each payer's share of a month's realized revenue collected ceil(days-to-collect / 30) months later</t>
  </si>
  <si>
    <t>Monthly tab vs. dashboard headline figures</t>
  </si>
  <si>
    <t>The Monthly tab's Billed/Realized revenue ramp up month by month per the Ramp % column above. The CapexIQ dashboard's own monthly revenue and ROI figures are shown at mature (fully ramped-up) utilization, so they will match this tab's later, fully-ramped months rather than month 1 whenever a utilization ramp is set. NPV/IRR here and on the dashboard both already account for the ramp-up period.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</si>
</sst>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₹#,##0;[Red]-₹#,##0"/>
    <numFmt numFmtId="165" formatCode="0.0&quot;%&quot;"/>
    <numFmt numFmtId="166" formatCode="#,##0.0"/>
  </numFmts>
  <fonts count="5" x14ac:knownFonts="1">
    <font>
      <color theme="1"/>
      <family val="2"/>
      <scheme val="minor"/>
      <sz val="11"/>
      <name val="Calibri"/>
    </font>
    <font>
      <b/>
      <color rgb="FFFFFFFF"/>
      <sz val="14"/>
      <name val="Aptos"/>
    </font>
    <font>
      <color rgb="FF263238"/>
      <sz val="10"/>
      <name val="Aptos"/>
    </font>
    <font>
      <b/>
      <color rgb="FF164E63"/>
      <sz val="10"/>
      <name val="Aptos"/>
    </font>
    <font>
      <b/>
      <color rgb="FFFFFFFF"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64E63"/>
      </patternFill>
    </fill>
    <fill>
      <patternFill patternType="solid">
        <fgColor rgb="FFD9F0ED"/>
      </patternFill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left style="thin">
        <color rgb="FFD7DEE2"/>
      </left>
      <right style="thin">
        <color rgb="FFD7DEE2"/>
      </right>
      <top style="thin">
        <color rgb="FFD7DEE2"/>
      </top>
      <bottom style="thin">
        <color rgb="FFD7DEE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166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7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3" width="20" customWidth="1"/>
    <col min="4" max="4" width="28" customWidth="1"/>
    <col min="5" max="5" width="22" customWidth="1"/>
  </cols>
  <sheetData>
    <row r="1" ht="28" customHeight="1" spans="1:5" x14ac:dyDescent="0.25">
      <c r="A1" s="1" t="s">
        <v>0</v>
      </c>
      <c r="B1" s="1"/>
      <c r="C1" s="1"/>
      <c r="D1" s="1"/>
      <c r="E1" s="1"/>
    </row>
    <row r="2" ht="19" customHeight="1" spans="1:5" x14ac:dyDescent="0.25">
      <c r="A2" s="2" t="s">
        <v>1</v>
      </c>
      <c r="B2" s="3">
        <v>45000000</v>
      </c>
      <c r="C2" s="2"/>
      <c r="D2" s="2"/>
      <c r="E2" s="2"/>
    </row>
    <row r="3" ht="19" customHeight="1" spans="1:5" x14ac:dyDescent="0.25">
      <c r="A3" s="2" t="s">
        <v>2</v>
      </c>
      <c r="B3" s="3">
        <v>3500000</v>
      </c>
      <c r="C3" s="2"/>
      <c r="D3" s="2"/>
      <c r="E3" s="2"/>
    </row>
    <row r="4" ht="19" customHeight="1" spans="1:5" x14ac:dyDescent="0.25">
      <c r="A4" s="2" t="s">
        <v>3</v>
      </c>
      <c r="B4" s="3">
        <f>$B$2+$B$3</f>
      </c>
      <c r="C4" s="2"/>
      <c r="D4" s="2"/>
      <c r="E4" s="2"/>
    </row>
    <row r="5" ht="19" customHeight="1" spans="1:5" x14ac:dyDescent="0.25">
      <c r="A5" s="2" t="s">
        <v>4</v>
      </c>
      <c r="B5" s="4">
        <v>14</v>
      </c>
      <c r="C5" s="2"/>
      <c r="D5" s="2"/>
      <c r="E5" s="2"/>
    </row>
    <row r="6" ht="19" customHeight="1" spans="1:5" x14ac:dyDescent="0.25">
      <c r="A6" s="2" t="s">
        <v>5</v>
      </c>
      <c r="B6" s="4">
        <v>25</v>
      </c>
      <c r="C6" s="2"/>
      <c r="D6" s="2"/>
      <c r="E6" s="2"/>
    </row>
    <row r="7" ht="19" customHeight="1" spans="1:5" x14ac:dyDescent="0.25">
      <c r="A7" s="2" t="s">
        <v>6</v>
      </c>
      <c r="B7" s="3">
        <v>500</v>
      </c>
      <c r="C7" s="2"/>
      <c r="D7" s="2"/>
      <c r="E7" s="2"/>
    </row>
    <row r="8" ht="19" customHeight="1" spans="1:5" x14ac:dyDescent="0.25">
      <c r="A8" s="2" t="s">
        <v>7</v>
      </c>
      <c r="B8" s="3">
        <v>52500</v>
      </c>
      <c r="C8" s="2"/>
      <c r="D8" s="2"/>
      <c r="E8" s="2"/>
    </row>
    <row r="9" ht="19" customHeight="1" spans="1:5" x14ac:dyDescent="0.25">
      <c r="A9" s="2" t="s">
        <v>8</v>
      </c>
      <c r="B9" s="4">
        <v>13</v>
      </c>
      <c r="C9" s="2"/>
      <c r="D9" s="2"/>
      <c r="E9" s="2"/>
    </row>
    <row r="10" ht="19" customHeight="1" spans="1:5" x14ac:dyDescent="0.25">
      <c r="A10" s="2" t="s">
        <v>9</v>
      </c>
      <c r="B10" s="5">
        <v>12.5</v>
      </c>
      <c r="C10" s="2"/>
      <c r="D10" s="2"/>
      <c r="E10" s="2"/>
    </row>
    <row r="11" ht="19" customHeight="1" spans="1:5" x14ac:dyDescent="0.25">
      <c r="A11" s="2" t="s">
        <v>10</v>
      </c>
      <c r="B11" s="5">
        <v>5</v>
      </c>
      <c r="C11" s="2"/>
      <c r="D11" s="2"/>
      <c r="E11" s="2"/>
    </row>
    <row r="12" ht="19" customHeight="1" spans="1:5" x14ac:dyDescent="0.25">
      <c r="A12" s="2" t="s">
        <v>11</v>
      </c>
      <c r="B12" s="2" t="s">
        <v>12</v>
      </c>
      <c r="C12" s="2"/>
      <c r="D12" s="2"/>
      <c r="E12" s="2"/>
    </row>
    <row r="13" ht="19" customHeight="1" spans="1:5" x14ac:dyDescent="0.25">
      <c r="A13" s="2" t="s">
        <v>13</v>
      </c>
      <c r="B13" s="3">
        <v>0</v>
      </c>
      <c r="C13" s="2"/>
      <c r="D13" s="2"/>
      <c r="E13" s="2"/>
    </row>
    <row r="14" ht="19" customHeight="1" spans="1:5" x14ac:dyDescent="0.25">
      <c r="A14" s="2" t="s">
        <v>14</v>
      </c>
      <c r="B14" s="2">
        <v>0</v>
      </c>
      <c r="C14" s="2"/>
      <c r="D14" s="2"/>
      <c r="E14" s="2"/>
    </row>
    <row r="15" ht="19" customHeight="1" spans="1:5" x14ac:dyDescent="0.25">
      <c r="A15" s="6" t="s">
        <v>15</v>
      </c>
      <c r="B15" s="4">
        <v>0</v>
      </c>
      <c r="C15" s="2"/>
      <c r="D15" s="2"/>
      <c r="E15" s="2"/>
    </row>
    <row r="16" ht="19" customHeight="1" spans="1:5" x14ac:dyDescent="0.25">
      <c r="A16" s="2" t="s">
        <v>16</v>
      </c>
      <c r="B16" s="3">
        <v>0</v>
      </c>
      <c r="C16" s="2"/>
      <c r="D16" s="2"/>
      <c r="E16" s="2"/>
    </row>
    <row r="17" ht="19" customHeight="1" spans="1:5" x14ac:dyDescent="0.25">
      <c r="A17" s="2" t="s">
        <v>17</v>
      </c>
      <c r="B17" s="4">
        <v>4</v>
      </c>
      <c r="C17" s="2"/>
      <c r="D17" s="2"/>
      <c r="E17" s="2"/>
    </row>
    <row r="18" ht="19" customHeight="1" spans="1:5" x14ac:dyDescent="0.25">
      <c r="A18" s="2" t="s">
        <v>18</v>
      </c>
      <c r="B18" s="4">
        <v>5</v>
      </c>
      <c r="C18" s="2"/>
      <c r="D18" s="2"/>
      <c r="E18" s="2"/>
    </row>
    <row r="19" ht="19" customHeight="1" spans="1:5" x14ac:dyDescent="0.25">
      <c r="A19" s="2" t="s">
        <v>19</v>
      </c>
      <c r="B19" s="3">
        <v>2925000</v>
      </c>
      <c r="C19" s="2"/>
      <c r="D19" s="2"/>
      <c r="E19" s="2"/>
    </row>
    <row r="20" ht="19" customHeight="1" spans="1:5" x14ac:dyDescent="0.25">
      <c r="A20" s="2" t="s">
        <v>20</v>
      </c>
      <c r="B20" s="3">
        <v>1012500</v>
      </c>
      <c r="C20" s="2"/>
      <c r="D20" s="2"/>
      <c r="E20" s="2"/>
    </row>
    <row r="21" ht="19" customHeight="1" spans="1:5" x14ac:dyDescent="0.25">
      <c r="A21" s="2" t="s">
        <v>21</v>
      </c>
      <c r="B21" s="5">
        <v>50</v>
      </c>
      <c r="C21" s="2"/>
      <c r="D21" s="2"/>
      <c r="E21" s="2"/>
    </row>
    <row r="22" ht="19" customHeight="1" spans="1:5" x14ac:dyDescent="0.25">
      <c r="A22" s="2" t="s">
        <v>22</v>
      </c>
      <c r="B22" s="5">
        <v>70</v>
      </c>
      <c r="C22" s="2"/>
      <c r="D22" s="2"/>
      <c r="E22" s="2"/>
    </row>
    <row r="23" ht="19" customHeight="1" spans="1:5" x14ac:dyDescent="0.25">
      <c r="A23" s="2" t="s">
        <v>23</v>
      </c>
      <c r="B23" s="5">
        <v>85</v>
      </c>
      <c r="C23" s="2"/>
      <c r="D23" s="2"/>
      <c r="E23" s="2"/>
    </row>
    <row r="24" ht="19" customHeight="1" spans="1:5" x14ac:dyDescent="0.25">
      <c r="A24" s="2" t="s">
        <v>24</v>
      </c>
      <c r="B24" s="5">
        <v>100</v>
      </c>
      <c r="C24" s="2"/>
      <c r="D24" s="2"/>
      <c r="E24" s="2"/>
    </row>
    <row r="25" ht="22" customHeight="1" spans="1:5" x14ac:dyDescent="0.25">
      <c r="A25" s="7" t="s">
        <v>25</v>
      </c>
      <c r="B25" s="7"/>
      <c r="C25" s="7"/>
      <c r="D25" s="7"/>
      <c r="E25" s="7"/>
    </row>
    <row r="26" ht="34" customHeight="1" spans="1:5" x14ac:dyDescent="0.25">
      <c r="A26" s="8" t="s">
        <v>26</v>
      </c>
      <c r="B26" s="8" t="s">
        <v>27</v>
      </c>
      <c r="C26" s="8" t="s">
        <v>28</v>
      </c>
      <c r="D26" s="8" t="s">
        <v>29</v>
      </c>
      <c r="E26" s="8" t="s">
        <v>30</v>
      </c>
    </row>
    <row r="27" ht="19" customHeight="1" spans="1:5" x14ac:dyDescent="0.25">
      <c r="A27" s="2" t="s">
        <v>31</v>
      </c>
      <c r="B27" s="5">
        <v>55</v>
      </c>
      <c r="C27" s="3">
        <v>8500</v>
      </c>
      <c r="D27" s="5">
        <v>100</v>
      </c>
      <c r="E27" s="4">
        <v>0</v>
      </c>
    </row>
    <row r="28" ht="19" customHeight="1" spans="1:5" x14ac:dyDescent="0.25">
      <c r="A28" s="2" t="s">
        <v>32</v>
      </c>
      <c r="B28" s="5">
        <v>25</v>
      </c>
      <c r="C28" s="3">
        <v>8500</v>
      </c>
      <c r="D28" s="5">
        <v>85.5</v>
      </c>
      <c r="E28" s="4">
        <v>45</v>
      </c>
    </row>
    <row r="29" ht="19" customHeight="1" spans="1:5" x14ac:dyDescent="0.25">
      <c r="A29" s="2" t="s">
        <v>33</v>
      </c>
      <c r="B29" s="5">
        <v>10</v>
      </c>
      <c r="C29" s="3">
        <v>8500</v>
      </c>
      <c r="D29" s="5">
        <v>93.1</v>
      </c>
      <c r="E29" s="4">
        <v>30</v>
      </c>
    </row>
    <row r="30" ht="19" customHeight="1" spans="1:5" x14ac:dyDescent="0.25">
      <c r="A30" s="2" t="s">
        <v>34</v>
      </c>
      <c r="B30" s="5">
        <v>10</v>
      </c>
      <c r="C30" s="3">
        <v>8500</v>
      </c>
      <c r="D30" s="5">
        <v>76.5</v>
      </c>
      <c r="E30" s="4">
        <v>60</v>
      </c>
    </row>
    <row r="31" ht="19" customHeight="1" spans="1:5" x14ac:dyDescent="0.25">
      <c r="A31" s="2" t="s">
        <v>35</v>
      </c>
      <c r="B31" s="5">
        <v>0</v>
      </c>
      <c r="C31" s="3">
        <v>5000</v>
      </c>
      <c r="D31" s="5">
        <v>100</v>
      </c>
      <c r="E31" s="4">
        <v>0</v>
      </c>
    </row>
    <row r="32" ht="19" customHeight="1" spans="1:5" x14ac:dyDescent="0.25">
      <c r="A32" s="6" t="s">
        <v>36</v>
      </c>
      <c r="B32" s="3">
        <f>SUMPRODUCT($B$27:$B$31,$C$27:$C$31)/100</f>
      </c>
      <c r="C32" s="2"/>
      <c r="D32" s="2"/>
      <c r="E32" s="2"/>
    </row>
    <row r="33" ht="19" customHeight="1" spans="1:5" x14ac:dyDescent="0.25">
      <c r="A33" s="2" t="s">
        <v>37</v>
      </c>
      <c r="B33" s="3">
        <f>SUMPRODUCT($B$27:$B$31,$C$27:$C$31,$D$27:$D$31)/10000</f>
      </c>
      <c r="C33" s="2"/>
      <c r="D33" s="2"/>
      <c r="E33" s="2"/>
    </row>
    <row r="34" ht="22" customHeight="1" spans="1:5" x14ac:dyDescent="0.25">
      <c r="A34" s="7" t="s">
        <v>38</v>
      </c>
      <c r="B34" s="7"/>
      <c r="C34" s="7"/>
      <c r="D34" s="7"/>
      <c r="E34" s="7"/>
    </row>
    <row r="35" ht="19" customHeight="1" spans="1:5" x14ac:dyDescent="0.25">
      <c r="A35" s="2" t="s">
        <v>39</v>
      </c>
      <c r="B35" s="5">
        <v>0</v>
      </c>
      <c r="C35" s="2"/>
      <c r="D35" s="2"/>
      <c r="E35" s="2"/>
    </row>
    <row r="36" ht="19" customHeight="1" spans="1:5" x14ac:dyDescent="0.25">
      <c r="A36" s="2" t="s">
        <v>40</v>
      </c>
      <c r="B36" s="5">
        <v>0</v>
      </c>
      <c r="C36" s="2"/>
      <c r="D36" s="2"/>
      <c r="E36" s="2"/>
    </row>
    <row r="37" ht="19" customHeight="1" spans="1:5" x14ac:dyDescent="0.25">
      <c r="A37" s="2" t="s">
        <v>41</v>
      </c>
      <c r="B37" s="5">
        <v>0</v>
      </c>
      <c r="C37" s="2"/>
      <c r="D37" s="2"/>
      <c r="E37" s="2"/>
    </row>
    <row r="38" ht="19" customHeight="1" spans="1:5" x14ac:dyDescent="0.25">
      <c r="A38" s="2" t="s">
        <v>42</v>
      </c>
      <c r="B38" s="5">
        <v>0</v>
      </c>
      <c r="C38" s="2"/>
      <c r="D38" s="2"/>
      <c r="E38" s="2"/>
    </row>
    <row r="39" ht="19" customHeight="1" spans="1:5" x14ac:dyDescent="0.25">
      <c r="A39" s="2" t="s">
        <v>43</v>
      </c>
      <c r="B39" s="5">
        <v>0</v>
      </c>
      <c r="C39" s="2"/>
      <c r="D39" s="2"/>
      <c r="E39" s="2"/>
    </row>
    <row r="40" ht="19" customHeight="1" spans="1:5" x14ac:dyDescent="0.25">
      <c r="A40" s="2" t="s">
        <v>44</v>
      </c>
      <c r="B40" s="5">
        <v>4.5</v>
      </c>
      <c r="C40" s="2"/>
      <c r="D40" s="2"/>
      <c r="E40" s="2"/>
    </row>
    <row r="41" ht="19" customHeight="1" spans="1:5" x14ac:dyDescent="0.25">
      <c r="A41" s="2" t="s">
        <v>45</v>
      </c>
      <c r="B41" s="5">
        <v>4.5</v>
      </c>
      <c r="C41" s="2"/>
      <c r="D41" s="2"/>
      <c r="E41" s="2"/>
    </row>
    <row r="42" ht="19" customHeight="1" spans="1:5" x14ac:dyDescent="0.25">
      <c r="A42" s="2" t="s">
        <v>46</v>
      </c>
      <c r="B42" s="5">
        <v>4.5</v>
      </c>
      <c r="C42" s="2"/>
      <c r="D42" s="2"/>
      <c r="E42" s="2"/>
    </row>
    <row r="43" ht="19" customHeight="1" spans="1:5" x14ac:dyDescent="0.25">
      <c r="A43" s="2" t="s">
        <v>47</v>
      </c>
      <c r="B43" s="5">
        <v>2.5</v>
      </c>
      <c r="C43" s="2"/>
      <c r="D43" s="2"/>
      <c r="E43" s="2"/>
    </row>
    <row r="44" ht="19" customHeight="1" spans="1:5" x14ac:dyDescent="0.25">
      <c r="A44" s="2" t="s">
        <v>48</v>
      </c>
      <c r="B44" s="5">
        <v>2.5</v>
      </c>
      <c r="C44" s="2"/>
      <c r="D44" s="2"/>
      <c r="E44" s="2"/>
    </row>
    <row r="45" ht="19" customHeight="1" spans="1:5" x14ac:dyDescent="0.25">
      <c r="A45" s="2" t="s">
        <v>49</v>
      </c>
      <c r="B45" s="5">
        <v>2.5</v>
      </c>
      <c r="C45" s="2"/>
      <c r="D45" s="2"/>
      <c r="E45" s="2"/>
    </row>
    <row r="46" ht="19" customHeight="1" spans="1:5" x14ac:dyDescent="0.25">
      <c r="A46" s="2" t="s">
        <v>50</v>
      </c>
      <c r="B46" s="5">
        <v>2.5</v>
      </c>
      <c r="C46" s="2"/>
      <c r="D46" s="2"/>
      <c r="E46" s="2"/>
    </row>
    <row r="47" ht="19" customHeight="1" spans="1:5" x14ac:dyDescent="0.25">
      <c r="A47" s="2" t="s">
        <v>51</v>
      </c>
      <c r="B47" s="5">
        <v>2.5</v>
      </c>
      <c r="C47" s="2"/>
      <c r="D47" s="2"/>
      <c r="E47" s="2"/>
    </row>
  </sheetData>
  <autoFilter ref="A26:E31"/>
  <pageMargins left="0.25" right="0.25" top="0.5" bottom="0.5" header="0.2" footer="0.2"/>
  <pageSetup orientation="portrait" horizontalDpi="4294967295" verticalDpi="4294967295" scale="100" fitToWidth="1" fitToHeight="0"/>
  <headerFooter>
    <oddFooter>CapexIQ  • 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59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10" width="19" customWidth="1"/>
    <col min="11" max="16" width="23" customWidth="1"/>
    <col min="18" max="18" width="26" customWidth="1"/>
    <col min="19" max="19" width="18" customWidth="1"/>
  </cols>
  <sheetData>
    <row r="1" ht="34" customHeight="1" spans="1:19" x14ac:dyDescent="0.25">
      <c r="A1" s="8" t="s">
        <v>52</v>
      </c>
      <c r="B1" s="8" t="s">
        <v>53</v>
      </c>
      <c r="C1" s="8" t="s">
        <v>54</v>
      </c>
      <c r="D1" s="8" t="s">
        <v>55</v>
      </c>
      <c r="E1" s="8" t="s">
        <v>56</v>
      </c>
      <c r="F1" s="8" t="s">
        <v>57</v>
      </c>
      <c r="G1" s="8" t="s">
        <v>58</v>
      </c>
      <c r="H1" s="8" t="s">
        <v>59</v>
      </c>
      <c r="I1" s="8" t="s">
        <v>60</v>
      </c>
      <c r="J1" s="8" t="s">
        <v>61</v>
      </c>
      <c r="K1" s="8" t="s">
        <v>62</v>
      </c>
      <c r="L1" s="8" t="s">
        <v>63</v>
      </c>
      <c r="M1" s="8" t="s">
        <v>64</v>
      </c>
      <c r="N1" s="8" t="s">
        <v>65</v>
      </c>
      <c r="O1" s="8" t="s">
        <v>66</v>
      </c>
      <c r="P1" s="8" t="s">
        <v>67</v>
      </c>
      <c r="Q1" s="2"/>
      <c r="R1" s="6" t="s">
        <v>68</v>
      </c>
      <c r="S1" s="3">
        <f>IF(Assumptions!$B$12="Loan",-PMT(Assumptions!$B$14/12/100,Assumptions!$B$15,Assumptions!$B$4-Assumptions!$B$13),IF(Assumptions!$B$12="Lease",Assumptions!$B$16,0))</f>
      </c>
    </row>
    <row r="2" ht="19" customHeight="1" spans="1:19" x14ac:dyDescent="0.25">
      <c r="A2" s="4">
        <v>1</v>
      </c>
      <c r="B2" s="4">
        <v>1</v>
      </c>
      <c r="C2" s="3">
        <f>Assumptions!$B$5*Assumptions!$B$32*Assumptions!$B$6*D2</f>
      </c>
      <c r="D2" s="5">
        <f>IF(A2&lt;=3,Assumptions!$B$21,IF(A2&lt;=6,Assumptions!$B$22,IF(A2&lt;=12,Assumptions!$B$23,Assumptions!$B$24)))/100</f>
      </c>
      <c r="E2" s="3">
        <f>Assumptions!$B$5*Assumptions!$B$33*Assumptions!$B$6*D2</f>
      </c>
      <c r="F2" s="3">
        <f>Assumptions!$B$5*Assumptions!$B$7*Assumptions!$B$6*D2</f>
      </c>
      <c r="G2" s="3">
        <f>Assumptions!$B$8</f>
      </c>
      <c r="H2" s="3">
        <f>IF(INDEX(Assumptions!$B$35:$B$47,B2)&lt;&gt;"",INDEX(Assumptions!$B$35:$B$47,B2)/100*Assumptions!$B$2,IF(B2&lt;=Assumptions!$B$17,0,IF(B2&lt;=Assumptions!$B$17+Assumptions!$B$18,Assumptions!$B$19,Assumptions!$B$20)))/12</f>
      </c>
      <c r="I2" s="3">
        <f>IF(Assumptions!$B$12="Cash",0,IF(A2&lt;=Assumptions!$B$15,Monthly!$S$1,0))</f>
      </c>
      <c r="J2" s="3">
        <f>E2-F2-G2-H2-I2</f>
      </c>
      <c r="K2" s="3">
        <f>IF(AND(A2-CEILING(Assumptions!$E$27/30,1)&gt;=1,A2-CEILING(Assumptions!$E$27/30,1)&lt;=156),INDEX($E$2:$E$157,A2-CEILING(Assumptions!$E$27/30,1))*Assumptions!$B$27/100,0)</f>
      </c>
      <c r="L2" s="3">
        <f>IF(AND(A2-CEILING(Assumptions!$E$28/30,1)&gt;=1,A2-CEILING(Assumptions!$E$28/30,1)&lt;=156),INDEX($E$2:$E$157,A2-CEILING(Assumptions!$E$28/30,1))*Assumptions!$B$28/100,0)</f>
      </c>
      <c r="M2" s="3">
        <f>IF(AND(A2-CEILING(Assumptions!$E$29/30,1)&gt;=1,A2-CEILING(Assumptions!$E$29/30,1)&lt;=156),INDEX($E$2:$E$157,A2-CEILING(Assumptions!$E$29/30,1))*Assumptions!$B$29/100,0)</f>
      </c>
      <c r="N2" s="3">
        <f>IF(AND(A2-CEILING(Assumptions!$E$30/30,1)&gt;=1,A2-CEILING(Assumptions!$E$30/30,1)&lt;=156),INDEX($E$2:$E$157,A2-CEILING(Assumptions!$E$30/30,1))*Assumptions!$B$30/100,0)</f>
      </c>
      <c r="O2" s="3">
        <f>IF(AND(A2-CEILING(Assumptions!$E$31/30,1)&gt;=1,A2-CEILING(Assumptions!$E$31/30,1)&lt;=156),INDEX($E$2:$E$157,A2-CEILING(Assumptions!$E$31/30,1))*Assumptions!$B$31/100,0)</f>
      </c>
      <c r="P2" s="3">
        <f>K2+L2+M2+N2+O2</f>
      </c>
      <c r="Q2" s="2"/>
      <c r="R2" s="2"/>
      <c r="S2" s="2"/>
    </row>
    <row r="3" ht="19" customHeight="1" spans="1:19" x14ac:dyDescent="0.25">
      <c r="A3" s="4">
        <v>2</v>
      </c>
      <c r="B3" s="4">
        <v>1</v>
      </c>
      <c r="C3" s="3">
        <f>Assumptions!$B$5*Assumptions!$B$32*Assumptions!$B$6*D3</f>
      </c>
      <c r="D3" s="5">
        <f>IF(A3&lt;=3,Assumptions!$B$21,IF(A3&lt;=6,Assumptions!$B$22,IF(A3&lt;=12,Assumptions!$B$23,Assumptions!$B$24)))/100</f>
      </c>
      <c r="E3" s="3">
        <f>Assumptions!$B$5*Assumptions!$B$33*Assumptions!$B$6*D3</f>
      </c>
      <c r="F3" s="3">
        <f>Assumptions!$B$5*Assumptions!$B$7*Assumptions!$B$6*D3</f>
      </c>
      <c r="G3" s="3">
        <f>Assumptions!$B$8</f>
      </c>
      <c r="H3" s="3">
        <f>IF(INDEX(Assumptions!$B$35:$B$47,B3)&lt;&gt;"",INDEX(Assumptions!$B$35:$B$47,B3)/100*Assumptions!$B$2,IF(B3&lt;=Assumptions!$B$17,0,IF(B3&lt;=Assumptions!$B$17+Assumptions!$B$18,Assumptions!$B$19,Assumptions!$B$20)))/12</f>
      </c>
      <c r="I3" s="3">
        <f>IF(Assumptions!$B$12="Cash",0,IF(A3&lt;=Assumptions!$B$15,Monthly!$S$1,0))</f>
      </c>
      <c r="J3" s="3">
        <f>E3-F3-G3-H3-I3</f>
      </c>
      <c r="K3" s="3">
        <f>IF(AND(A3-CEILING(Assumptions!$E$27/30,1)&gt;=1,A3-CEILING(Assumptions!$E$27/30,1)&lt;=156),INDEX($E$2:$E$157,A3-CEILING(Assumptions!$E$27/30,1))*Assumptions!$B$27/100,0)</f>
      </c>
      <c r="L3" s="3">
        <f>IF(AND(A3-CEILING(Assumptions!$E$28/30,1)&gt;=1,A3-CEILING(Assumptions!$E$28/30,1)&lt;=156),INDEX($E$2:$E$157,A3-CEILING(Assumptions!$E$28/30,1))*Assumptions!$B$28/100,0)</f>
      </c>
      <c r="M3" s="3">
        <f>IF(AND(A3-CEILING(Assumptions!$E$29/30,1)&gt;=1,A3-CEILING(Assumptions!$E$29/30,1)&lt;=156),INDEX($E$2:$E$157,A3-CEILING(Assumptions!$E$29/30,1))*Assumptions!$B$29/100,0)</f>
      </c>
      <c r="N3" s="3">
        <f>IF(AND(A3-CEILING(Assumptions!$E$30/30,1)&gt;=1,A3-CEILING(Assumptions!$E$30/30,1)&lt;=156),INDEX($E$2:$E$157,A3-CEILING(Assumptions!$E$30/30,1))*Assumptions!$B$30/100,0)</f>
      </c>
      <c r="O3" s="3">
        <f>IF(AND(A3-CEILING(Assumptions!$E$31/30,1)&gt;=1,A3-CEILING(Assumptions!$E$31/30,1)&lt;=156),INDEX($E$2:$E$157,A3-CEILING(Assumptions!$E$31/30,1))*Assumptions!$B$31/100,0)</f>
      </c>
      <c r="P3" s="3">
        <f>K3+L3+M3+N3+O3</f>
      </c>
      <c r="Q3" s="2"/>
      <c r="R3" s="2"/>
      <c r="S3" s="2"/>
    </row>
    <row r="4" ht="19" customHeight="1" spans="1:19" x14ac:dyDescent="0.25">
      <c r="A4" s="4">
        <v>3</v>
      </c>
      <c r="B4" s="4">
        <v>1</v>
      </c>
      <c r="C4" s="3">
        <f>Assumptions!$B$5*Assumptions!$B$32*Assumptions!$B$6*D4</f>
      </c>
      <c r="D4" s="5">
        <f>IF(A4&lt;=3,Assumptions!$B$21,IF(A4&lt;=6,Assumptions!$B$22,IF(A4&lt;=12,Assumptions!$B$23,Assumptions!$B$24)))/100</f>
      </c>
      <c r="E4" s="3">
        <f>Assumptions!$B$5*Assumptions!$B$33*Assumptions!$B$6*D4</f>
      </c>
      <c r="F4" s="3">
        <f>Assumptions!$B$5*Assumptions!$B$7*Assumptions!$B$6*D4</f>
      </c>
      <c r="G4" s="3">
        <f>Assumptions!$B$8</f>
      </c>
      <c r="H4" s="3">
        <f>IF(INDEX(Assumptions!$B$35:$B$47,B4)&lt;&gt;"",INDEX(Assumptions!$B$35:$B$47,B4)/100*Assumptions!$B$2,IF(B4&lt;=Assumptions!$B$17,0,IF(B4&lt;=Assumptions!$B$17+Assumptions!$B$18,Assumptions!$B$19,Assumptions!$B$20)))/12</f>
      </c>
      <c r="I4" s="3">
        <f>IF(Assumptions!$B$12="Cash",0,IF(A4&lt;=Assumptions!$B$15,Monthly!$S$1,0))</f>
      </c>
      <c r="J4" s="3">
        <f>E4-F4-G4-H4-I4</f>
      </c>
      <c r="K4" s="3">
        <f>IF(AND(A4-CEILING(Assumptions!$E$27/30,1)&gt;=1,A4-CEILING(Assumptions!$E$27/30,1)&lt;=156),INDEX($E$2:$E$157,A4-CEILING(Assumptions!$E$27/30,1))*Assumptions!$B$27/100,0)</f>
      </c>
      <c r="L4" s="3">
        <f>IF(AND(A4-CEILING(Assumptions!$E$28/30,1)&gt;=1,A4-CEILING(Assumptions!$E$28/30,1)&lt;=156),INDEX($E$2:$E$157,A4-CEILING(Assumptions!$E$28/30,1))*Assumptions!$B$28/100,0)</f>
      </c>
      <c r="M4" s="3">
        <f>IF(AND(A4-CEILING(Assumptions!$E$29/30,1)&gt;=1,A4-CEILING(Assumptions!$E$29/30,1)&lt;=156),INDEX($E$2:$E$157,A4-CEILING(Assumptions!$E$29/30,1))*Assumptions!$B$29/100,0)</f>
      </c>
      <c r="N4" s="3">
        <f>IF(AND(A4-CEILING(Assumptions!$E$30/30,1)&gt;=1,A4-CEILING(Assumptions!$E$30/30,1)&lt;=156),INDEX($E$2:$E$157,A4-CEILING(Assumptions!$E$30/30,1))*Assumptions!$B$30/100,0)</f>
      </c>
      <c r="O4" s="3">
        <f>IF(AND(A4-CEILING(Assumptions!$E$31/30,1)&gt;=1,A4-CEILING(Assumptions!$E$31/30,1)&lt;=156),INDEX($E$2:$E$157,A4-CEILING(Assumptions!$E$31/30,1))*Assumptions!$B$31/100,0)</f>
      </c>
      <c r="P4" s="3">
        <f>K4+L4+M4+N4+O4</f>
      </c>
      <c r="Q4" s="2"/>
      <c r="R4" s="2"/>
      <c r="S4" s="2"/>
    </row>
    <row r="5" ht="19" customHeight="1" spans="1:19" x14ac:dyDescent="0.25">
      <c r="A5" s="4">
        <v>4</v>
      </c>
      <c r="B5" s="4">
        <v>1</v>
      </c>
      <c r="C5" s="3">
        <f>Assumptions!$B$5*Assumptions!$B$32*Assumptions!$B$6*D5</f>
      </c>
      <c r="D5" s="5">
        <f>IF(A5&lt;=3,Assumptions!$B$21,IF(A5&lt;=6,Assumptions!$B$22,IF(A5&lt;=12,Assumptions!$B$23,Assumptions!$B$24)))/100</f>
      </c>
      <c r="E5" s="3">
        <f>Assumptions!$B$5*Assumptions!$B$33*Assumptions!$B$6*D5</f>
      </c>
      <c r="F5" s="3">
        <f>Assumptions!$B$5*Assumptions!$B$7*Assumptions!$B$6*D5</f>
      </c>
      <c r="G5" s="3">
        <f>Assumptions!$B$8</f>
      </c>
      <c r="H5" s="3">
        <f>IF(INDEX(Assumptions!$B$35:$B$47,B5)&lt;&gt;"",INDEX(Assumptions!$B$35:$B$47,B5)/100*Assumptions!$B$2,IF(B5&lt;=Assumptions!$B$17,0,IF(B5&lt;=Assumptions!$B$17+Assumptions!$B$18,Assumptions!$B$19,Assumptions!$B$20)))/12</f>
      </c>
      <c r="I5" s="3">
        <f>IF(Assumptions!$B$12="Cash",0,IF(A5&lt;=Assumptions!$B$15,Monthly!$S$1,0))</f>
      </c>
      <c r="J5" s="3">
        <f>E5-F5-G5-H5-I5</f>
      </c>
      <c r="K5" s="3">
        <f>IF(AND(A5-CEILING(Assumptions!$E$27/30,1)&gt;=1,A5-CEILING(Assumptions!$E$27/30,1)&lt;=156),INDEX($E$2:$E$157,A5-CEILING(Assumptions!$E$27/30,1))*Assumptions!$B$27/100,0)</f>
      </c>
      <c r="L5" s="3">
        <f>IF(AND(A5-CEILING(Assumptions!$E$28/30,1)&gt;=1,A5-CEILING(Assumptions!$E$28/30,1)&lt;=156),INDEX($E$2:$E$157,A5-CEILING(Assumptions!$E$28/30,1))*Assumptions!$B$28/100,0)</f>
      </c>
      <c r="M5" s="3">
        <f>IF(AND(A5-CEILING(Assumptions!$E$29/30,1)&gt;=1,A5-CEILING(Assumptions!$E$29/30,1)&lt;=156),INDEX($E$2:$E$157,A5-CEILING(Assumptions!$E$29/30,1))*Assumptions!$B$29/100,0)</f>
      </c>
      <c r="N5" s="3">
        <f>IF(AND(A5-CEILING(Assumptions!$E$30/30,1)&gt;=1,A5-CEILING(Assumptions!$E$30/30,1)&lt;=156),INDEX($E$2:$E$157,A5-CEILING(Assumptions!$E$30/30,1))*Assumptions!$B$30/100,0)</f>
      </c>
      <c r="O5" s="3">
        <f>IF(AND(A5-CEILING(Assumptions!$E$31/30,1)&gt;=1,A5-CEILING(Assumptions!$E$31/30,1)&lt;=156),INDEX($E$2:$E$157,A5-CEILING(Assumptions!$E$31/30,1))*Assumptions!$B$31/100,0)</f>
      </c>
      <c r="P5" s="3">
        <f>K5+L5+M5+N5+O5</f>
      </c>
      <c r="Q5" s="2"/>
      <c r="R5" s="2"/>
      <c r="S5" s="2"/>
    </row>
    <row r="6" ht="19" customHeight="1" spans="1:19" x14ac:dyDescent="0.25">
      <c r="A6" s="4">
        <v>5</v>
      </c>
      <c r="B6" s="4">
        <v>1</v>
      </c>
      <c r="C6" s="3">
        <f>Assumptions!$B$5*Assumptions!$B$32*Assumptions!$B$6*D6</f>
      </c>
      <c r="D6" s="5">
        <f>IF(A6&lt;=3,Assumptions!$B$21,IF(A6&lt;=6,Assumptions!$B$22,IF(A6&lt;=12,Assumptions!$B$23,Assumptions!$B$24)))/100</f>
      </c>
      <c r="E6" s="3">
        <f>Assumptions!$B$5*Assumptions!$B$33*Assumptions!$B$6*D6</f>
      </c>
      <c r="F6" s="3">
        <f>Assumptions!$B$5*Assumptions!$B$7*Assumptions!$B$6*D6</f>
      </c>
      <c r="G6" s="3">
        <f>Assumptions!$B$8</f>
      </c>
      <c r="H6" s="3">
        <f>IF(INDEX(Assumptions!$B$35:$B$47,B6)&lt;&gt;"",INDEX(Assumptions!$B$35:$B$47,B6)/100*Assumptions!$B$2,IF(B6&lt;=Assumptions!$B$17,0,IF(B6&lt;=Assumptions!$B$17+Assumptions!$B$18,Assumptions!$B$19,Assumptions!$B$20)))/12</f>
      </c>
      <c r="I6" s="3">
        <f>IF(Assumptions!$B$12="Cash",0,IF(A6&lt;=Assumptions!$B$15,Monthly!$S$1,0))</f>
      </c>
      <c r="J6" s="3">
        <f>E6-F6-G6-H6-I6</f>
      </c>
      <c r="K6" s="3">
        <f>IF(AND(A6-CEILING(Assumptions!$E$27/30,1)&gt;=1,A6-CEILING(Assumptions!$E$27/30,1)&lt;=156),INDEX($E$2:$E$157,A6-CEILING(Assumptions!$E$27/30,1))*Assumptions!$B$27/100,0)</f>
      </c>
      <c r="L6" s="3">
        <f>IF(AND(A6-CEILING(Assumptions!$E$28/30,1)&gt;=1,A6-CEILING(Assumptions!$E$28/30,1)&lt;=156),INDEX($E$2:$E$157,A6-CEILING(Assumptions!$E$28/30,1))*Assumptions!$B$28/100,0)</f>
      </c>
      <c r="M6" s="3">
        <f>IF(AND(A6-CEILING(Assumptions!$E$29/30,1)&gt;=1,A6-CEILING(Assumptions!$E$29/30,1)&lt;=156),INDEX($E$2:$E$157,A6-CEILING(Assumptions!$E$29/30,1))*Assumptions!$B$29/100,0)</f>
      </c>
      <c r="N6" s="3">
        <f>IF(AND(A6-CEILING(Assumptions!$E$30/30,1)&gt;=1,A6-CEILING(Assumptions!$E$30/30,1)&lt;=156),INDEX($E$2:$E$157,A6-CEILING(Assumptions!$E$30/30,1))*Assumptions!$B$30/100,0)</f>
      </c>
      <c r="O6" s="3">
        <f>IF(AND(A6-CEILING(Assumptions!$E$31/30,1)&gt;=1,A6-CEILING(Assumptions!$E$31/30,1)&lt;=156),INDEX($E$2:$E$157,A6-CEILING(Assumptions!$E$31/30,1))*Assumptions!$B$31/100,0)</f>
      </c>
      <c r="P6" s="3">
        <f>K6+L6+M6+N6+O6</f>
      </c>
      <c r="Q6" s="2"/>
      <c r="R6" s="2"/>
      <c r="S6" s="2"/>
    </row>
    <row r="7" ht="19" customHeight="1" spans="1:19" x14ac:dyDescent="0.25">
      <c r="A7" s="4">
        <v>6</v>
      </c>
      <c r="B7" s="4">
        <v>1</v>
      </c>
      <c r="C7" s="3">
        <f>Assumptions!$B$5*Assumptions!$B$32*Assumptions!$B$6*D7</f>
      </c>
      <c r="D7" s="5">
        <f>IF(A7&lt;=3,Assumptions!$B$21,IF(A7&lt;=6,Assumptions!$B$22,IF(A7&lt;=12,Assumptions!$B$23,Assumptions!$B$24)))/100</f>
      </c>
      <c r="E7" s="3">
        <f>Assumptions!$B$5*Assumptions!$B$33*Assumptions!$B$6*D7</f>
      </c>
      <c r="F7" s="3">
        <f>Assumptions!$B$5*Assumptions!$B$7*Assumptions!$B$6*D7</f>
      </c>
      <c r="G7" s="3">
        <f>Assumptions!$B$8</f>
      </c>
      <c r="H7" s="3">
        <f>IF(INDEX(Assumptions!$B$35:$B$47,B7)&lt;&gt;"",INDEX(Assumptions!$B$35:$B$47,B7)/100*Assumptions!$B$2,IF(B7&lt;=Assumptions!$B$17,0,IF(B7&lt;=Assumptions!$B$17+Assumptions!$B$18,Assumptions!$B$19,Assumptions!$B$20)))/12</f>
      </c>
      <c r="I7" s="3">
        <f>IF(Assumptions!$B$12="Cash",0,IF(A7&lt;=Assumptions!$B$15,Monthly!$S$1,0))</f>
      </c>
      <c r="J7" s="3">
        <f>E7-F7-G7-H7-I7</f>
      </c>
      <c r="K7" s="3">
        <f>IF(AND(A7-CEILING(Assumptions!$E$27/30,1)&gt;=1,A7-CEILING(Assumptions!$E$27/30,1)&lt;=156),INDEX($E$2:$E$157,A7-CEILING(Assumptions!$E$27/30,1))*Assumptions!$B$27/100,0)</f>
      </c>
      <c r="L7" s="3">
        <f>IF(AND(A7-CEILING(Assumptions!$E$28/30,1)&gt;=1,A7-CEILING(Assumptions!$E$28/30,1)&lt;=156),INDEX($E$2:$E$157,A7-CEILING(Assumptions!$E$28/30,1))*Assumptions!$B$28/100,0)</f>
      </c>
      <c r="M7" s="3">
        <f>IF(AND(A7-CEILING(Assumptions!$E$29/30,1)&gt;=1,A7-CEILING(Assumptions!$E$29/30,1)&lt;=156),INDEX($E$2:$E$157,A7-CEILING(Assumptions!$E$29/30,1))*Assumptions!$B$29/100,0)</f>
      </c>
      <c r="N7" s="3">
        <f>IF(AND(A7-CEILING(Assumptions!$E$30/30,1)&gt;=1,A7-CEILING(Assumptions!$E$30/30,1)&lt;=156),INDEX($E$2:$E$157,A7-CEILING(Assumptions!$E$30/30,1))*Assumptions!$B$30/100,0)</f>
      </c>
      <c r="O7" s="3">
        <f>IF(AND(A7-CEILING(Assumptions!$E$31/30,1)&gt;=1,A7-CEILING(Assumptions!$E$31/30,1)&lt;=156),INDEX($E$2:$E$157,A7-CEILING(Assumptions!$E$31/30,1))*Assumptions!$B$31/100,0)</f>
      </c>
      <c r="P7" s="3">
        <f>K7+L7+M7+N7+O7</f>
      </c>
      <c r="Q7" s="2"/>
      <c r="R7" s="2"/>
      <c r="S7" s="2"/>
    </row>
    <row r="8" ht="19" customHeight="1" spans="1:19" x14ac:dyDescent="0.25">
      <c r="A8" s="4">
        <v>7</v>
      </c>
      <c r="B8" s="4">
        <v>1</v>
      </c>
      <c r="C8" s="3">
        <f>Assumptions!$B$5*Assumptions!$B$32*Assumptions!$B$6*D8</f>
      </c>
      <c r="D8" s="5">
        <f>IF(A8&lt;=3,Assumptions!$B$21,IF(A8&lt;=6,Assumptions!$B$22,IF(A8&lt;=12,Assumptions!$B$23,Assumptions!$B$24)))/100</f>
      </c>
      <c r="E8" s="3">
        <f>Assumptions!$B$5*Assumptions!$B$33*Assumptions!$B$6*D8</f>
      </c>
      <c r="F8" s="3">
        <f>Assumptions!$B$5*Assumptions!$B$7*Assumptions!$B$6*D8</f>
      </c>
      <c r="G8" s="3">
        <f>Assumptions!$B$8</f>
      </c>
      <c r="H8" s="3">
        <f>IF(INDEX(Assumptions!$B$35:$B$47,B8)&lt;&gt;"",INDEX(Assumptions!$B$35:$B$47,B8)/100*Assumptions!$B$2,IF(B8&lt;=Assumptions!$B$17,0,IF(B8&lt;=Assumptions!$B$17+Assumptions!$B$18,Assumptions!$B$19,Assumptions!$B$20)))/12</f>
      </c>
      <c r="I8" s="3">
        <f>IF(Assumptions!$B$12="Cash",0,IF(A8&lt;=Assumptions!$B$15,Monthly!$S$1,0))</f>
      </c>
      <c r="J8" s="3">
        <f>E8-F8-G8-H8-I8</f>
      </c>
      <c r="K8" s="3">
        <f>IF(AND(A8-CEILING(Assumptions!$E$27/30,1)&gt;=1,A8-CEILING(Assumptions!$E$27/30,1)&lt;=156),INDEX($E$2:$E$157,A8-CEILING(Assumptions!$E$27/30,1))*Assumptions!$B$27/100,0)</f>
      </c>
      <c r="L8" s="3">
        <f>IF(AND(A8-CEILING(Assumptions!$E$28/30,1)&gt;=1,A8-CEILING(Assumptions!$E$28/30,1)&lt;=156),INDEX($E$2:$E$157,A8-CEILING(Assumptions!$E$28/30,1))*Assumptions!$B$28/100,0)</f>
      </c>
      <c r="M8" s="3">
        <f>IF(AND(A8-CEILING(Assumptions!$E$29/30,1)&gt;=1,A8-CEILING(Assumptions!$E$29/30,1)&lt;=156),INDEX($E$2:$E$157,A8-CEILING(Assumptions!$E$29/30,1))*Assumptions!$B$29/100,0)</f>
      </c>
      <c r="N8" s="3">
        <f>IF(AND(A8-CEILING(Assumptions!$E$30/30,1)&gt;=1,A8-CEILING(Assumptions!$E$30/30,1)&lt;=156),INDEX($E$2:$E$157,A8-CEILING(Assumptions!$E$30/30,1))*Assumptions!$B$30/100,0)</f>
      </c>
      <c r="O8" s="3">
        <f>IF(AND(A8-CEILING(Assumptions!$E$31/30,1)&gt;=1,A8-CEILING(Assumptions!$E$31/30,1)&lt;=156),INDEX($E$2:$E$157,A8-CEILING(Assumptions!$E$31/30,1))*Assumptions!$B$31/100,0)</f>
      </c>
      <c r="P8" s="3">
        <f>K8+L8+M8+N8+O8</f>
      </c>
      <c r="Q8" s="2"/>
      <c r="R8" s="2"/>
      <c r="S8" s="2"/>
    </row>
    <row r="9" ht="19" customHeight="1" spans="1:19" x14ac:dyDescent="0.25">
      <c r="A9" s="4">
        <v>8</v>
      </c>
      <c r="B9" s="4">
        <v>1</v>
      </c>
      <c r="C9" s="3">
        <f>Assumptions!$B$5*Assumptions!$B$32*Assumptions!$B$6*D9</f>
      </c>
      <c r="D9" s="5">
        <f>IF(A9&lt;=3,Assumptions!$B$21,IF(A9&lt;=6,Assumptions!$B$22,IF(A9&lt;=12,Assumptions!$B$23,Assumptions!$B$24)))/100</f>
      </c>
      <c r="E9" s="3">
        <f>Assumptions!$B$5*Assumptions!$B$33*Assumptions!$B$6*D9</f>
      </c>
      <c r="F9" s="3">
        <f>Assumptions!$B$5*Assumptions!$B$7*Assumptions!$B$6*D9</f>
      </c>
      <c r="G9" s="3">
        <f>Assumptions!$B$8</f>
      </c>
      <c r="H9" s="3">
        <f>IF(INDEX(Assumptions!$B$35:$B$47,B9)&lt;&gt;"",INDEX(Assumptions!$B$35:$B$47,B9)/100*Assumptions!$B$2,IF(B9&lt;=Assumptions!$B$17,0,IF(B9&lt;=Assumptions!$B$17+Assumptions!$B$18,Assumptions!$B$19,Assumptions!$B$20)))/12</f>
      </c>
      <c r="I9" s="3">
        <f>IF(Assumptions!$B$12="Cash",0,IF(A9&lt;=Assumptions!$B$15,Monthly!$S$1,0))</f>
      </c>
      <c r="J9" s="3">
        <f>E9-F9-G9-H9-I9</f>
      </c>
      <c r="K9" s="3">
        <f>IF(AND(A9-CEILING(Assumptions!$E$27/30,1)&gt;=1,A9-CEILING(Assumptions!$E$27/30,1)&lt;=156),INDEX($E$2:$E$157,A9-CEILING(Assumptions!$E$27/30,1))*Assumptions!$B$27/100,0)</f>
      </c>
      <c r="L9" s="3">
        <f>IF(AND(A9-CEILING(Assumptions!$E$28/30,1)&gt;=1,A9-CEILING(Assumptions!$E$28/30,1)&lt;=156),INDEX($E$2:$E$157,A9-CEILING(Assumptions!$E$28/30,1))*Assumptions!$B$28/100,0)</f>
      </c>
      <c r="M9" s="3">
        <f>IF(AND(A9-CEILING(Assumptions!$E$29/30,1)&gt;=1,A9-CEILING(Assumptions!$E$29/30,1)&lt;=156),INDEX($E$2:$E$157,A9-CEILING(Assumptions!$E$29/30,1))*Assumptions!$B$29/100,0)</f>
      </c>
      <c r="N9" s="3">
        <f>IF(AND(A9-CEILING(Assumptions!$E$30/30,1)&gt;=1,A9-CEILING(Assumptions!$E$30/30,1)&lt;=156),INDEX($E$2:$E$157,A9-CEILING(Assumptions!$E$30/30,1))*Assumptions!$B$30/100,0)</f>
      </c>
      <c r="O9" s="3">
        <f>IF(AND(A9-CEILING(Assumptions!$E$31/30,1)&gt;=1,A9-CEILING(Assumptions!$E$31/30,1)&lt;=156),INDEX($E$2:$E$157,A9-CEILING(Assumptions!$E$31/30,1))*Assumptions!$B$31/100,0)</f>
      </c>
      <c r="P9" s="3">
        <f>K9+L9+M9+N9+O9</f>
      </c>
      <c r="Q9" s="2"/>
      <c r="R9" s="2"/>
      <c r="S9" s="2"/>
    </row>
    <row r="10" ht="19" customHeight="1" spans="1:19" x14ac:dyDescent="0.25">
      <c r="A10" s="4">
        <v>9</v>
      </c>
      <c r="B10" s="4">
        <v>1</v>
      </c>
      <c r="C10" s="3">
        <f>Assumptions!$B$5*Assumptions!$B$32*Assumptions!$B$6*D10</f>
      </c>
      <c r="D10" s="5">
        <f>IF(A10&lt;=3,Assumptions!$B$21,IF(A10&lt;=6,Assumptions!$B$22,IF(A10&lt;=12,Assumptions!$B$23,Assumptions!$B$24)))/100</f>
      </c>
      <c r="E10" s="3">
        <f>Assumptions!$B$5*Assumptions!$B$33*Assumptions!$B$6*D10</f>
      </c>
      <c r="F10" s="3">
        <f>Assumptions!$B$5*Assumptions!$B$7*Assumptions!$B$6*D10</f>
      </c>
      <c r="G10" s="3">
        <f>Assumptions!$B$8</f>
      </c>
      <c r="H10" s="3">
        <f>IF(INDEX(Assumptions!$B$35:$B$47,B10)&lt;&gt;"",INDEX(Assumptions!$B$35:$B$47,B10)/100*Assumptions!$B$2,IF(B10&lt;=Assumptions!$B$17,0,IF(B10&lt;=Assumptions!$B$17+Assumptions!$B$18,Assumptions!$B$19,Assumptions!$B$20)))/12</f>
      </c>
      <c r="I10" s="3">
        <f>IF(Assumptions!$B$12="Cash",0,IF(A10&lt;=Assumptions!$B$15,Monthly!$S$1,0))</f>
      </c>
      <c r="J10" s="3">
        <f>E10-F10-G10-H10-I10</f>
      </c>
      <c r="K10" s="3">
        <f>IF(AND(A10-CEILING(Assumptions!$E$27/30,1)&gt;=1,A10-CEILING(Assumptions!$E$27/30,1)&lt;=156),INDEX($E$2:$E$157,A10-CEILING(Assumptions!$E$27/30,1))*Assumptions!$B$27/100,0)</f>
      </c>
      <c r="L10" s="3">
        <f>IF(AND(A10-CEILING(Assumptions!$E$28/30,1)&gt;=1,A10-CEILING(Assumptions!$E$28/30,1)&lt;=156),INDEX($E$2:$E$157,A10-CEILING(Assumptions!$E$28/30,1))*Assumptions!$B$28/100,0)</f>
      </c>
      <c r="M10" s="3">
        <f>IF(AND(A10-CEILING(Assumptions!$E$29/30,1)&gt;=1,A10-CEILING(Assumptions!$E$29/30,1)&lt;=156),INDEX($E$2:$E$157,A10-CEILING(Assumptions!$E$29/30,1))*Assumptions!$B$29/100,0)</f>
      </c>
      <c r="N10" s="3">
        <f>IF(AND(A10-CEILING(Assumptions!$E$30/30,1)&gt;=1,A10-CEILING(Assumptions!$E$30/30,1)&lt;=156),INDEX($E$2:$E$157,A10-CEILING(Assumptions!$E$30/30,1))*Assumptions!$B$30/100,0)</f>
      </c>
      <c r="O10" s="3">
        <f>IF(AND(A10-CEILING(Assumptions!$E$31/30,1)&gt;=1,A10-CEILING(Assumptions!$E$31/30,1)&lt;=156),INDEX($E$2:$E$157,A10-CEILING(Assumptions!$E$31/30,1))*Assumptions!$B$31/100,0)</f>
      </c>
      <c r="P10" s="3">
        <f>K10+L10+M10+N10+O10</f>
      </c>
      <c r="Q10" s="2"/>
      <c r="R10" s="2"/>
      <c r="S10" s="2"/>
    </row>
    <row r="11" ht="19" customHeight="1" spans="1:19" x14ac:dyDescent="0.25">
      <c r="A11" s="4">
        <v>10</v>
      </c>
      <c r="B11" s="4">
        <v>1</v>
      </c>
      <c r="C11" s="3">
        <f>Assumptions!$B$5*Assumptions!$B$32*Assumptions!$B$6*D11</f>
      </c>
      <c r="D11" s="5">
        <f>IF(A11&lt;=3,Assumptions!$B$21,IF(A11&lt;=6,Assumptions!$B$22,IF(A11&lt;=12,Assumptions!$B$23,Assumptions!$B$24)))/100</f>
      </c>
      <c r="E11" s="3">
        <f>Assumptions!$B$5*Assumptions!$B$33*Assumptions!$B$6*D11</f>
      </c>
      <c r="F11" s="3">
        <f>Assumptions!$B$5*Assumptions!$B$7*Assumptions!$B$6*D11</f>
      </c>
      <c r="G11" s="3">
        <f>Assumptions!$B$8</f>
      </c>
      <c r="H11" s="3">
        <f>IF(INDEX(Assumptions!$B$35:$B$47,B11)&lt;&gt;"",INDEX(Assumptions!$B$35:$B$47,B11)/100*Assumptions!$B$2,IF(B11&lt;=Assumptions!$B$17,0,IF(B11&lt;=Assumptions!$B$17+Assumptions!$B$18,Assumptions!$B$19,Assumptions!$B$20)))/12</f>
      </c>
      <c r="I11" s="3">
        <f>IF(Assumptions!$B$12="Cash",0,IF(A11&lt;=Assumptions!$B$15,Monthly!$S$1,0))</f>
      </c>
      <c r="J11" s="3">
        <f>E11-F11-G11-H11-I11</f>
      </c>
      <c r="K11" s="3">
        <f>IF(AND(A11-CEILING(Assumptions!$E$27/30,1)&gt;=1,A11-CEILING(Assumptions!$E$27/30,1)&lt;=156),INDEX($E$2:$E$157,A11-CEILING(Assumptions!$E$27/30,1))*Assumptions!$B$27/100,0)</f>
      </c>
      <c r="L11" s="3">
        <f>IF(AND(A11-CEILING(Assumptions!$E$28/30,1)&gt;=1,A11-CEILING(Assumptions!$E$28/30,1)&lt;=156),INDEX($E$2:$E$157,A11-CEILING(Assumptions!$E$28/30,1))*Assumptions!$B$28/100,0)</f>
      </c>
      <c r="M11" s="3">
        <f>IF(AND(A11-CEILING(Assumptions!$E$29/30,1)&gt;=1,A11-CEILING(Assumptions!$E$29/30,1)&lt;=156),INDEX($E$2:$E$157,A11-CEILING(Assumptions!$E$29/30,1))*Assumptions!$B$29/100,0)</f>
      </c>
      <c r="N11" s="3">
        <f>IF(AND(A11-CEILING(Assumptions!$E$30/30,1)&gt;=1,A11-CEILING(Assumptions!$E$30/30,1)&lt;=156),INDEX($E$2:$E$157,A11-CEILING(Assumptions!$E$30/30,1))*Assumptions!$B$30/100,0)</f>
      </c>
      <c r="O11" s="3">
        <f>IF(AND(A11-CEILING(Assumptions!$E$31/30,1)&gt;=1,A11-CEILING(Assumptions!$E$31/30,1)&lt;=156),INDEX($E$2:$E$157,A11-CEILING(Assumptions!$E$31/30,1))*Assumptions!$B$31/100,0)</f>
      </c>
      <c r="P11" s="3">
        <f>K11+L11+M11+N11+O11</f>
      </c>
      <c r="Q11" s="2"/>
      <c r="R11" s="2"/>
      <c r="S11" s="2"/>
    </row>
    <row r="12" ht="19" customHeight="1" spans="1:19" x14ac:dyDescent="0.25">
      <c r="A12" s="4">
        <v>11</v>
      </c>
      <c r="B12" s="4">
        <v>1</v>
      </c>
      <c r="C12" s="3">
        <f>Assumptions!$B$5*Assumptions!$B$32*Assumptions!$B$6*D12</f>
      </c>
      <c r="D12" s="5">
        <f>IF(A12&lt;=3,Assumptions!$B$21,IF(A12&lt;=6,Assumptions!$B$22,IF(A12&lt;=12,Assumptions!$B$23,Assumptions!$B$24)))/100</f>
      </c>
      <c r="E12" s="3">
        <f>Assumptions!$B$5*Assumptions!$B$33*Assumptions!$B$6*D12</f>
      </c>
      <c r="F12" s="3">
        <f>Assumptions!$B$5*Assumptions!$B$7*Assumptions!$B$6*D12</f>
      </c>
      <c r="G12" s="3">
        <f>Assumptions!$B$8</f>
      </c>
      <c r="H12" s="3">
        <f>IF(INDEX(Assumptions!$B$35:$B$47,B12)&lt;&gt;"",INDEX(Assumptions!$B$35:$B$47,B12)/100*Assumptions!$B$2,IF(B12&lt;=Assumptions!$B$17,0,IF(B12&lt;=Assumptions!$B$17+Assumptions!$B$18,Assumptions!$B$19,Assumptions!$B$20)))/12</f>
      </c>
      <c r="I12" s="3">
        <f>IF(Assumptions!$B$12="Cash",0,IF(A12&lt;=Assumptions!$B$15,Monthly!$S$1,0))</f>
      </c>
      <c r="J12" s="3">
        <f>E12-F12-G12-H12-I12</f>
      </c>
      <c r="K12" s="3">
        <f>IF(AND(A12-CEILING(Assumptions!$E$27/30,1)&gt;=1,A12-CEILING(Assumptions!$E$27/30,1)&lt;=156),INDEX($E$2:$E$157,A12-CEILING(Assumptions!$E$27/30,1))*Assumptions!$B$27/100,0)</f>
      </c>
      <c r="L12" s="3">
        <f>IF(AND(A12-CEILING(Assumptions!$E$28/30,1)&gt;=1,A12-CEILING(Assumptions!$E$28/30,1)&lt;=156),INDEX($E$2:$E$157,A12-CEILING(Assumptions!$E$28/30,1))*Assumptions!$B$28/100,0)</f>
      </c>
      <c r="M12" s="3">
        <f>IF(AND(A12-CEILING(Assumptions!$E$29/30,1)&gt;=1,A12-CEILING(Assumptions!$E$29/30,1)&lt;=156),INDEX($E$2:$E$157,A12-CEILING(Assumptions!$E$29/30,1))*Assumptions!$B$29/100,0)</f>
      </c>
      <c r="N12" s="3">
        <f>IF(AND(A12-CEILING(Assumptions!$E$30/30,1)&gt;=1,A12-CEILING(Assumptions!$E$30/30,1)&lt;=156),INDEX($E$2:$E$157,A12-CEILING(Assumptions!$E$30/30,1))*Assumptions!$B$30/100,0)</f>
      </c>
      <c r="O12" s="3">
        <f>IF(AND(A12-CEILING(Assumptions!$E$31/30,1)&gt;=1,A12-CEILING(Assumptions!$E$31/30,1)&lt;=156),INDEX($E$2:$E$157,A12-CEILING(Assumptions!$E$31/30,1))*Assumptions!$B$31/100,0)</f>
      </c>
      <c r="P12" s="3">
        <f>K12+L12+M12+N12+O12</f>
      </c>
      <c r="Q12" s="2"/>
      <c r="R12" s="2"/>
      <c r="S12" s="2"/>
    </row>
    <row r="13" ht="19" customHeight="1" spans="1:19" x14ac:dyDescent="0.25">
      <c r="A13" s="4">
        <v>12</v>
      </c>
      <c r="B13" s="4">
        <v>1</v>
      </c>
      <c r="C13" s="3">
        <f>Assumptions!$B$5*Assumptions!$B$32*Assumptions!$B$6*D13</f>
      </c>
      <c r="D13" s="5">
        <f>IF(A13&lt;=3,Assumptions!$B$21,IF(A13&lt;=6,Assumptions!$B$22,IF(A13&lt;=12,Assumptions!$B$23,Assumptions!$B$24)))/100</f>
      </c>
      <c r="E13" s="3">
        <f>Assumptions!$B$5*Assumptions!$B$33*Assumptions!$B$6*D13</f>
      </c>
      <c r="F13" s="3">
        <f>Assumptions!$B$5*Assumptions!$B$7*Assumptions!$B$6*D13</f>
      </c>
      <c r="G13" s="3">
        <f>Assumptions!$B$8</f>
      </c>
      <c r="H13" s="3">
        <f>IF(INDEX(Assumptions!$B$35:$B$47,B13)&lt;&gt;"",INDEX(Assumptions!$B$35:$B$47,B13)/100*Assumptions!$B$2,IF(B13&lt;=Assumptions!$B$17,0,IF(B13&lt;=Assumptions!$B$17+Assumptions!$B$18,Assumptions!$B$19,Assumptions!$B$20)))/12</f>
      </c>
      <c r="I13" s="3">
        <f>IF(Assumptions!$B$12="Cash",0,IF(A13&lt;=Assumptions!$B$15,Monthly!$S$1,0))</f>
      </c>
      <c r="J13" s="3">
        <f>E13-F13-G13-H13-I13</f>
      </c>
      <c r="K13" s="3">
        <f>IF(AND(A13-CEILING(Assumptions!$E$27/30,1)&gt;=1,A13-CEILING(Assumptions!$E$27/30,1)&lt;=156),INDEX($E$2:$E$157,A13-CEILING(Assumptions!$E$27/30,1))*Assumptions!$B$27/100,0)</f>
      </c>
      <c r="L13" s="3">
        <f>IF(AND(A13-CEILING(Assumptions!$E$28/30,1)&gt;=1,A13-CEILING(Assumptions!$E$28/30,1)&lt;=156),INDEX($E$2:$E$157,A13-CEILING(Assumptions!$E$28/30,1))*Assumptions!$B$28/100,0)</f>
      </c>
      <c r="M13" s="3">
        <f>IF(AND(A13-CEILING(Assumptions!$E$29/30,1)&gt;=1,A13-CEILING(Assumptions!$E$29/30,1)&lt;=156),INDEX($E$2:$E$157,A13-CEILING(Assumptions!$E$29/30,1))*Assumptions!$B$29/100,0)</f>
      </c>
      <c r="N13" s="3">
        <f>IF(AND(A13-CEILING(Assumptions!$E$30/30,1)&gt;=1,A13-CEILING(Assumptions!$E$30/30,1)&lt;=156),INDEX($E$2:$E$157,A13-CEILING(Assumptions!$E$30/30,1))*Assumptions!$B$30/100,0)</f>
      </c>
      <c r="O13" s="3">
        <f>IF(AND(A13-CEILING(Assumptions!$E$31/30,1)&gt;=1,A13-CEILING(Assumptions!$E$31/30,1)&lt;=156),INDEX($E$2:$E$157,A13-CEILING(Assumptions!$E$31/30,1))*Assumptions!$B$31/100,0)</f>
      </c>
      <c r="P13" s="3">
        <f>K13+L13+M13+N13+O13</f>
      </c>
      <c r="Q13" s="2"/>
      <c r="R13" s="2"/>
      <c r="S13" s="2"/>
    </row>
    <row r="14" ht="19" customHeight="1" spans="1:19" x14ac:dyDescent="0.25">
      <c r="A14" s="4">
        <v>13</v>
      </c>
      <c r="B14" s="4">
        <v>2</v>
      </c>
      <c r="C14" s="3">
        <f>Assumptions!$B$5*Assumptions!$B$32*Assumptions!$B$6*D14</f>
      </c>
      <c r="D14" s="5">
        <f>IF(A14&lt;=3,Assumptions!$B$21,IF(A14&lt;=6,Assumptions!$B$22,IF(A14&lt;=12,Assumptions!$B$23,Assumptions!$B$24)))/100</f>
      </c>
      <c r="E14" s="3">
        <f>Assumptions!$B$5*Assumptions!$B$33*Assumptions!$B$6*D14</f>
      </c>
      <c r="F14" s="3">
        <f>Assumptions!$B$5*Assumptions!$B$7*Assumptions!$B$6*D14</f>
      </c>
      <c r="G14" s="3">
        <f>Assumptions!$B$8</f>
      </c>
      <c r="H14" s="3">
        <f>IF(INDEX(Assumptions!$B$35:$B$47,B14)&lt;&gt;"",INDEX(Assumptions!$B$35:$B$47,B14)/100*Assumptions!$B$2,IF(B14&lt;=Assumptions!$B$17,0,IF(B14&lt;=Assumptions!$B$17+Assumptions!$B$18,Assumptions!$B$19,Assumptions!$B$20)))/12</f>
      </c>
      <c r="I14" s="3">
        <f>IF(Assumptions!$B$12="Cash",0,IF(A14&lt;=Assumptions!$B$15,Monthly!$S$1,0))</f>
      </c>
      <c r="J14" s="3">
        <f>E14-F14-G14-H14-I14</f>
      </c>
      <c r="K14" s="3">
        <f>IF(AND(A14-CEILING(Assumptions!$E$27/30,1)&gt;=1,A14-CEILING(Assumptions!$E$27/30,1)&lt;=156),INDEX($E$2:$E$157,A14-CEILING(Assumptions!$E$27/30,1))*Assumptions!$B$27/100,0)</f>
      </c>
      <c r="L14" s="3">
        <f>IF(AND(A14-CEILING(Assumptions!$E$28/30,1)&gt;=1,A14-CEILING(Assumptions!$E$28/30,1)&lt;=156),INDEX($E$2:$E$157,A14-CEILING(Assumptions!$E$28/30,1))*Assumptions!$B$28/100,0)</f>
      </c>
      <c r="M14" s="3">
        <f>IF(AND(A14-CEILING(Assumptions!$E$29/30,1)&gt;=1,A14-CEILING(Assumptions!$E$29/30,1)&lt;=156),INDEX($E$2:$E$157,A14-CEILING(Assumptions!$E$29/30,1))*Assumptions!$B$29/100,0)</f>
      </c>
      <c r="N14" s="3">
        <f>IF(AND(A14-CEILING(Assumptions!$E$30/30,1)&gt;=1,A14-CEILING(Assumptions!$E$30/30,1)&lt;=156),INDEX($E$2:$E$157,A14-CEILING(Assumptions!$E$30/30,1))*Assumptions!$B$30/100,0)</f>
      </c>
      <c r="O14" s="3">
        <f>IF(AND(A14-CEILING(Assumptions!$E$31/30,1)&gt;=1,A14-CEILING(Assumptions!$E$31/30,1)&lt;=156),INDEX($E$2:$E$157,A14-CEILING(Assumptions!$E$31/30,1))*Assumptions!$B$31/100,0)</f>
      </c>
      <c r="P14" s="3">
        <f>K14+L14+M14+N14+O14</f>
      </c>
      <c r="Q14" s="2"/>
      <c r="R14" s="2"/>
      <c r="S14" s="2"/>
    </row>
    <row r="15" ht="19" customHeight="1" spans="1:19" x14ac:dyDescent="0.25">
      <c r="A15" s="4">
        <v>14</v>
      </c>
      <c r="B15" s="4">
        <v>2</v>
      </c>
      <c r="C15" s="3">
        <f>Assumptions!$B$5*Assumptions!$B$32*Assumptions!$B$6*D15</f>
      </c>
      <c r="D15" s="5">
        <f>IF(A15&lt;=3,Assumptions!$B$21,IF(A15&lt;=6,Assumptions!$B$22,IF(A15&lt;=12,Assumptions!$B$23,Assumptions!$B$24)))/100</f>
      </c>
      <c r="E15" s="3">
        <f>Assumptions!$B$5*Assumptions!$B$33*Assumptions!$B$6*D15</f>
      </c>
      <c r="F15" s="3">
        <f>Assumptions!$B$5*Assumptions!$B$7*Assumptions!$B$6*D15</f>
      </c>
      <c r="G15" s="3">
        <f>Assumptions!$B$8</f>
      </c>
      <c r="H15" s="3">
        <f>IF(INDEX(Assumptions!$B$35:$B$47,B15)&lt;&gt;"",INDEX(Assumptions!$B$35:$B$47,B15)/100*Assumptions!$B$2,IF(B15&lt;=Assumptions!$B$17,0,IF(B15&lt;=Assumptions!$B$17+Assumptions!$B$18,Assumptions!$B$19,Assumptions!$B$20)))/12</f>
      </c>
      <c r="I15" s="3">
        <f>IF(Assumptions!$B$12="Cash",0,IF(A15&lt;=Assumptions!$B$15,Monthly!$S$1,0))</f>
      </c>
      <c r="J15" s="3">
        <f>E15-F15-G15-H15-I15</f>
      </c>
      <c r="K15" s="3">
        <f>IF(AND(A15-CEILING(Assumptions!$E$27/30,1)&gt;=1,A15-CEILING(Assumptions!$E$27/30,1)&lt;=156),INDEX($E$2:$E$157,A15-CEILING(Assumptions!$E$27/30,1))*Assumptions!$B$27/100,0)</f>
      </c>
      <c r="L15" s="3">
        <f>IF(AND(A15-CEILING(Assumptions!$E$28/30,1)&gt;=1,A15-CEILING(Assumptions!$E$28/30,1)&lt;=156),INDEX($E$2:$E$157,A15-CEILING(Assumptions!$E$28/30,1))*Assumptions!$B$28/100,0)</f>
      </c>
      <c r="M15" s="3">
        <f>IF(AND(A15-CEILING(Assumptions!$E$29/30,1)&gt;=1,A15-CEILING(Assumptions!$E$29/30,1)&lt;=156),INDEX($E$2:$E$157,A15-CEILING(Assumptions!$E$29/30,1))*Assumptions!$B$29/100,0)</f>
      </c>
      <c r="N15" s="3">
        <f>IF(AND(A15-CEILING(Assumptions!$E$30/30,1)&gt;=1,A15-CEILING(Assumptions!$E$30/30,1)&lt;=156),INDEX($E$2:$E$157,A15-CEILING(Assumptions!$E$30/30,1))*Assumptions!$B$30/100,0)</f>
      </c>
      <c r="O15" s="3">
        <f>IF(AND(A15-CEILING(Assumptions!$E$31/30,1)&gt;=1,A15-CEILING(Assumptions!$E$31/30,1)&lt;=156),INDEX($E$2:$E$157,A15-CEILING(Assumptions!$E$31/30,1))*Assumptions!$B$31/100,0)</f>
      </c>
      <c r="P15" s="3">
        <f>K15+L15+M15+N15+O15</f>
      </c>
      <c r="Q15" s="2"/>
      <c r="R15" s="2"/>
      <c r="S15" s="2"/>
    </row>
    <row r="16" ht="19" customHeight="1" spans="1:19" x14ac:dyDescent="0.25">
      <c r="A16" s="4">
        <v>15</v>
      </c>
      <c r="B16" s="4">
        <v>2</v>
      </c>
      <c r="C16" s="3">
        <f>Assumptions!$B$5*Assumptions!$B$32*Assumptions!$B$6*D16</f>
      </c>
      <c r="D16" s="5">
        <f>IF(A16&lt;=3,Assumptions!$B$21,IF(A16&lt;=6,Assumptions!$B$22,IF(A16&lt;=12,Assumptions!$B$23,Assumptions!$B$24)))/100</f>
      </c>
      <c r="E16" s="3">
        <f>Assumptions!$B$5*Assumptions!$B$33*Assumptions!$B$6*D16</f>
      </c>
      <c r="F16" s="3">
        <f>Assumptions!$B$5*Assumptions!$B$7*Assumptions!$B$6*D16</f>
      </c>
      <c r="G16" s="3">
        <f>Assumptions!$B$8</f>
      </c>
      <c r="H16" s="3">
        <f>IF(INDEX(Assumptions!$B$35:$B$47,B16)&lt;&gt;"",INDEX(Assumptions!$B$35:$B$47,B16)/100*Assumptions!$B$2,IF(B16&lt;=Assumptions!$B$17,0,IF(B16&lt;=Assumptions!$B$17+Assumptions!$B$18,Assumptions!$B$19,Assumptions!$B$20)))/12</f>
      </c>
      <c r="I16" s="3">
        <f>IF(Assumptions!$B$12="Cash",0,IF(A16&lt;=Assumptions!$B$15,Monthly!$S$1,0))</f>
      </c>
      <c r="J16" s="3">
        <f>E16-F16-G16-H16-I16</f>
      </c>
      <c r="K16" s="3">
        <f>IF(AND(A16-CEILING(Assumptions!$E$27/30,1)&gt;=1,A16-CEILING(Assumptions!$E$27/30,1)&lt;=156),INDEX($E$2:$E$157,A16-CEILING(Assumptions!$E$27/30,1))*Assumptions!$B$27/100,0)</f>
      </c>
      <c r="L16" s="3">
        <f>IF(AND(A16-CEILING(Assumptions!$E$28/30,1)&gt;=1,A16-CEILING(Assumptions!$E$28/30,1)&lt;=156),INDEX($E$2:$E$157,A16-CEILING(Assumptions!$E$28/30,1))*Assumptions!$B$28/100,0)</f>
      </c>
      <c r="M16" s="3">
        <f>IF(AND(A16-CEILING(Assumptions!$E$29/30,1)&gt;=1,A16-CEILING(Assumptions!$E$29/30,1)&lt;=156),INDEX($E$2:$E$157,A16-CEILING(Assumptions!$E$29/30,1))*Assumptions!$B$29/100,0)</f>
      </c>
      <c r="N16" s="3">
        <f>IF(AND(A16-CEILING(Assumptions!$E$30/30,1)&gt;=1,A16-CEILING(Assumptions!$E$30/30,1)&lt;=156),INDEX($E$2:$E$157,A16-CEILING(Assumptions!$E$30/30,1))*Assumptions!$B$30/100,0)</f>
      </c>
      <c r="O16" s="3">
        <f>IF(AND(A16-CEILING(Assumptions!$E$31/30,1)&gt;=1,A16-CEILING(Assumptions!$E$31/30,1)&lt;=156),INDEX($E$2:$E$157,A16-CEILING(Assumptions!$E$31/30,1))*Assumptions!$B$31/100,0)</f>
      </c>
      <c r="P16" s="3">
        <f>K16+L16+M16+N16+O16</f>
      </c>
      <c r="Q16" s="2"/>
      <c r="R16" s="2"/>
      <c r="S16" s="2"/>
    </row>
    <row r="17" ht="19" customHeight="1" spans="1:19" x14ac:dyDescent="0.25">
      <c r="A17" s="4">
        <v>16</v>
      </c>
      <c r="B17" s="4">
        <v>2</v>
      </c>
      <c r="C17" s="3">
        <f>Assumptions!$B$5*Assumptions!$B$32*Assumptions!$B$6*D17</f>
      </c>
      <c r="D17" s="5">
        <f>IF(A17&lt;=3,Assumptions!$B$21,IF(A17&lt;=6,Assumptions!$B$22,IF(A17&lt;=12,Assumptions!$B$23,Assumptions!$B$24)))/100</f>
      </c>
      <c r="E17" s="3">
        <f>Assumptions!$B$5*Assumptions!$B$33*Assumptions!$B$6*D17</f>
      </c>
      <c r="F17" s="3">
        <f>Assumptions!$B$5*Assumptions!$B$7*Assumptions!$B$6*D17</f>
      </c>
      <c r="G17" s="3">
        <f>Assumptions!$B$8</f>
      </c>
      <c r="H17" s="3">
        <f>IF(INDEX(Assumptions!$B$35:$B$47,B17)&lt;&gt;"",INDEX(Assumptions!$B$35:$B$47,B17)/100*Assumptions!$B$2,IF(B17&lt;=Assumptions!$B$17,0,IF(B17&lt;=Assumptions!$B$17+Assumptions!$B$18,Assumptions!$B$19,Assumptions!$B$20)))/12</f>
      </c>
      <c r="I17" s="3">
        <f>IF(Assumptions!$B$12="Cash",0,IF(A17&lt;=Assumptions!$B$15,Monthly!$S$1,0))</f>
      </c>
      <c r="J17" s="3">
        <f>E17-F17-G17-H17-I17</f>
      </c>
      <c r="K17" s="3">
        <f>IF(AND(A17-CEILING(Assumptions!$E$27/30,1)&gt;=1,A17-CEILING(Assumptions!$E$27/30,1)&lt;=156),INDEX($E$2:$E$157,A17-CEILING(Assumptions!$E$27/30,1))*Assumptions!$B$27/100,0)</f>
      </c>
      <c r="L17" s="3">
        <f>IF(AND(A17-CEILING(Assumptions!$E$28/30,1)&gt;=1,A17-CEILING(Assumptions!$E$28/30,1)&lt;=156),INDEX($E$2:$E$157,A17-CEILING(Assumptions!$E$28/30,1))*Assumptions!$B$28/100,0)</f>
      </c>
      <c r="M17" s="3">
        <f>IF(AND(A17-CEILING(Assumptions!$E$29/30,1)&gt;=1,A17-CEILING(Assumptions!$E$29/30,1)&lt;=156),INDEX($E$2:$E$157,A17-CEILING(Assumptions!$E$29/30,1))*Assumptions!$B$29/100,0)</f>
      </c>
      <c r="N17" s="3">
        <f>IF(AND(A17-CEILING(Assumptions!$E$30/30,1)&gt;=1,A17-CEILING(Assumptions!$E$30/30,1)&lt;=156),INDEX($E$2:$E$157,A17-CEILING(Assumptions!$E$30/30,1))*Assumptions!$B$30/100,0)</f>
      </c>
      <c r="O17" s="3">
        <f>IF(AND(A17-CEILING(Assumptions!$E$31/30,1)&gt;=1,A17-CEILING(Assumptions!$E$31/30,1)&lt;=156),INDEX($E$2:$E$157,A17-CEILING(Assumptions!$E$31/30,1))*Assumptions!$B$31/100,0)</f>
      </c>
      <c r="P17" s="3">
        <f>K17+L17+M17+N17+O17</f>
      </c>
      <c r="Q17" s="2"/>
      <c r="R17" s="2"/>
      <c r="S17" s="2"/>
    </row>
    <row r="18" ht="19" customHeight="1" spans="1:19" x14ac:dyDescent="0.25">
      <c r="A18" s="4">
        <v>17</v>
      </c>
      <c r="B18" s="4">
        <v>2</v>
      </c>
      <c r="C18" s="3">
        <f>Assumptions!$B$5*Assumptions!$B$32*Assumptions!$B$6*D18</f>
      </c>
      <c r="D18" s="5">
        <f>IF(A18&lt;=3,Assumptions!$B$21,IF(A18&lt;=6,Assumptions!$B$22,IF(A18&lt;=12,Assumptions!$B$23,Assumptions!$B$24)))/100</f>
      </c>
      <c r="E18" s="3">
        <f>Assumptions!$B$5*Assumptions!$B$33*Assumptions!$B$6*D18</f>
      </c>
      <c r="F18" s="3">
        <f>Assumptions!$B$5*Assumptions!$B$7*Assumptions!$B$6*D18</f>
      </c>
      <c r="G18" s="3">
        <f>Assumptions!$B$8</f>
      </c>
      <c r="H18" s="3">
        <f>IF(INDEX(Assumptions!$B$35:$B$47,B18)&lt;&gt;"",INDEX(Assumptions!$B$35:$B$47,B18)/100*Assumptions!$B$2,IF(B18&lt;=Assumptions!$B$17,0,IF(B18&lt;=Assumptions!$B$17+Assumptions!$B$18,Assumptions!$B$19,Assumptions!$B$20)))/12</f>
      </c>
      <c r="I18" s="3">
        <f>IF(Assumptions!$B$12="Cash",0,IF(A18&lt;=Assumptions!$B$15,Monthly!$S$1,0))</f>
      </c>
      <c r="J18" s="3">
        <f>E18-F18-G18-H18-I18</f>
      </c>
      <c r="K18" s="3">
        <f>IF(AND(A18-CEILING(Assumptions!$E$27/30,1)&gt;=1,A18-CEILING(Assumptions!$E$27/30,1)&lt;=156),INDEX($E$2:$E$157,A18-CEILING(Assumptions!$E$27/30,1))*Assumptions!$B$27/100,0)</f>
      </c>
      <c r="L18" s="3">
        <f>IF(AND(A18-CEILING(Assumptions!$E$28/30,1)&gt;=1,A18-CEILING(Assumptions!$E$28/30,1)&lt;=156),INDEX($E$2:$E$157,A18-CEILING(Assumptions!$E$28/30,1))*Assumptions!$B$28/100,0)</f>
      </c>
      <c r="M18" s="3">
        <f>IF(AND(A18-CEILING(Assumptions!$E$29/30,1)&gt;=1,A18-CEILING(Assumptions!$E$29/30,1)&lt;=156),INDEX($E$2:$E$157,A18-CEILING(Assumptions!$E$29/30,1))*Assumptions!$B$29/100,0)</f>
      </c>
      <c r="N18" s="3">
        <f>IF(AND(A18-CEILING(Assumptions!$E$30/30,1)&gt;=1,A18-CEILING(Assumptions!$E$30/30,1)&lt;=156),INDEX($E$2:$E$157,A18-CEILING(Assumptions!$E$30/30,1))*Assumptions!$B$30/100,0)</f>
      </c>
      <c r="O18" s="3">
        <f>IF(AND(A18-CEILING(Assumptions!$E$31/30,1)&gt;=1,A18-CEILING(Assumptions!$E$31/30,1)&lt;=156),INDEX($E$2:$E$157,A18-CEILING(Assumptions!$E$31/30,1))*Assumptions!$B$31/100,0)</f>
      </c>
      <c r="P18" s="3">
        <f>K18+L18+M18+N18+O18</f>
      </c>
      <c r="Q18" s="2"/>
      <c r="R18" s="2"/>
      <c r="S18" s="2"/>
    </row>
    <row r="19" ht="19" customHeight="1" spans="1:19" x14ac:dyDescent="0.25">
      <c r="A19" s="4">
        <v>18</v>
      </c>
      <c r="B19" s="4">
        <v>2</v>
      </c>
      <c r="C19" s="3">
        <f>Assumptions!$B$5*Assumptions!$B$32*Assumptions!$B$6*D19</f>
      </c>
      <c r="D19" s="5">
        <f>IF(A19&lt;=3,Assumptions!$B$21,IF(A19&lt;=6,Assumptions!$B$22,IF(A19&lt;=12,Assumptions!$B$23,Assumptions!$B$24)))/100</f>
      </c>
      <c r="E19" s="3">
        <f>Assumptions!$B$5*Assumptions!$B$33*Assumptions!$B$6*D19</f>
      </c>
      <c r="F19" s="3">
        <f>Assumptions!$B$5*Assumptions!$B$7*Assumptions!$B$6*D19</f>
      </c>
      <c r="G19" s="3">
        <f>Assumptions!$B$8</f>
      </c>
      <c r="H19" s="3">
        <f>IF(INDEX(Assumptions!$B$35:$B$47,B19)&lt;&gt;"",INDEX(Assumptions!$B$35:$B$47,B19)/100*Assumptions!$B$2,IF(B19&lt;=Assumptions!$B$17,0,IF(B19&lt;=Assumptions!$B$17+Assumptions!$B$18,Assumptions!$B$19,Assumptions!$B$20)))/12</f>
      </c>
      <c r="I19" s="3">
        <f>IF(Assumptions!$B$12="Cash",0,IF(A19&lt;=Assumptions!$B$15,Monthly!$S$1,0))</f>
      </c>
      <c r="J19" s="3">
        <f>E19-F19-G19-H19-I19</f>
      </c>
      <c r="K19" s="3">
        <f>IF(AND(A19-CEILING(Assumptions!$E$27/30,1)&gt;=1,A19-CEILING(Assumptions!$E$27/30,1)&lt;=156),INDEX($E$2:$E$157,A19-CEILING(Assumptions!$E$27/30,1))*Assumptions!$B$27/100,0)</f>
      </c>
      <c r="L19" s="3">
        <f>IF(AND(A19-CEILING(Assumptions!$E$28/30,1)&gt;=1,A19-CEILING(Assumptions!$E$28/30,1)&lt;=156),INDEX($E$2:$E$157,A19-CEILING(Assumptions!$E$28/30,1))*Assumptions!$B$28/100,0)</f>
      </c>
      <c r="M19" s="3">
        <f>IF(AND(A19-CEILING(Assumptions!$E$29/30,1)&gt;=1,A19-CEILING(Assumptions!$E$29/30,1)&lt;=156),INDEX($E$2:$E$157,A19-CEILING(Assumptions!$E$29/30,1))*Assumptions!$B$29/100,0)</f>
      </c>
      <c r="N19" s="3">
        <f>IF(AND(A19-CEILING(Assumptions!$E$30/30,1)&gt;=1,A19-CEILING(Assumptions!$E$30/30,1)&lt;=156),INDEX($E$2:$E$157,A19-CEILING(Assumptions!$E$30/30,1))*Assumptions!$B$30/100,0)</f>
      </c>
      <c r="O19" s="3">
        <f>IF(AND(A19-CEILING(Assumptions!$E$31/30,1)&gt;=1,A19-CEILING(Assumptions!$E$31/30,1)&lt;=156),INDEX($E$2:$E$157,A19-CEILING(Assumptions!$E$31/30,1))*Assumptions!$B$31/100,0)</f>
      </c>
      <c r="P19" s="3">
        <f>K19+L19+M19+N19+O19</f>
      </c>
      <c r="Q19" s="2"/>
      <c r="R19" s="2"/>
      <c r="S19" s="2"/>
    </row>
    <row r="20" ht="19" customHeight="1" spans="1:19" x14ac:dyDescent="0.25">
      <c r="A20" s="4">
        <v>19</v>
      </c>
      <c r="B20" s="4">
        <v>2</v>
      </c>
      <c r="C20" s="3">
        <f>Assumptions!$B$5*Assumptions!$B$32*Assumptions!$B$6*D20</f>
      </c>
      <c r="D20" s="5">
        <f>IF(A20&lt;=3,Assumptions!$B$21,IF(A20&lt;=6,Assumptions!$B$22,IF(A20&lt;=12,Assumptions!$B$23,Assumptions!$B$24)))/100</f>
      </c>
      <c r="E20" s="3">
        <f>Assumptions!$B$5*Assumptions!$B$33*Assumptions!$B$6*D20</f>
      </c>
      <c r="F20" s="3">
        <f>Assumptions!$B$5*Assumptions!$B$7*Assumptions!$B$6*D20</f>
      </c>
      <c r="G20" s="3">
        <f>Assumptions!$B$8</f>
      </c>
      <c r="H20" s="3">
        <f>IF(INDEX(Assumptions!$B$35:$B$47,B20)&lt;&gt;"",INDEX(Assumptions!$B$35:$B$47,B20)/100*Assumptions!$B$2,IF(B20&lt;=Assumptions!$B$17,0,IF(B20&lt;=Assumptions!$B$17+Assumptions!$B$18,Assumptions!$B$19,Assumptions!$B$20)))/12</f>
      </c>
      <c r="I20" s="3">
        <f>IF(Assumptions!$B$12="Cash",0,IF(A20&lt;=Assumptions!$B$15,Monthly!$S$1,0))</f>
      </c>
      <c r="J20" s="3">
        <f>E20-F20-G20-H20-I20</f>
      </c>
      <c r="K20" s="3">
        <f>IF(AND(A20-CEILING(Assumptions!$E$27/30,1)&gt;=1,A20-CEILING(Assumptions!$E$27/30,1)&lt;=156),INDEX($E$2:$E$157,A20-CEILING(Assumptions!$E$27/30,1))*Assumptions!$B$27/100,0)</f>
      </c>
      <c r="L20" s="3">
        <f>IF(AND(A20-CEILING(Assumptions!$E$28/30,1)&gt;=1,A20-CEILING(Assumptions!$E$28/30,1)&lt;=156),INDEX($E$2:$E$157,A20-CEILING(Assumptions!$E$28/30,1))*Assumptions!$B$28/100,0)</f>
      </c>
      <c r="M20" s="3">
        <f>IF(AND(A20-CEILING(Assumptions!$E$29/30,1)&gt;=1,A20-CEILING(Assumptions!$E$29/30,1)&lt;=156),INDEX($E$2:$E$157,A20-CEILING(Assumptions!$E$29/30,1))*Assumptions!$B$29/100,0)</f>
      </c>
      <c r="N20" s="3">
        <f>IF(AND(A20-CEILING(Assumptions!$E$30/30,1)&gt;=1,A20-CEILING(Assumptions!$E$30/30,1)&lt;=156),INDEX($E$2:$E$157,A20-CEILING(Assumptions!$E$30/30,1))*Assumptions!$B$30/100,0)</f>
      </c>
      <c r="O20" s="3">
        <f>IF(AND(A20-CEILING(Assumptions!$E$31/30,1)&gt;=1,A20-CEILING(Assumptions!$E$31/30,1)&lt;=156),INDEX($E$2:$E$157,A20-CEILING(Assumptions!$E$31/30,1))*Assumptions!$B$31/100,0)</f>
      </c>
      <c r="P20" s="3">
        <f>K20+L20+M20+N20+O20</f>
      </c>
      <c r="Q20" s="2"/>
      <c r="R20" s="2"/>
      <c r="S20" s="2"/>
    </row>
    <row r="21" ht="19" customHeight="1" spans="1:19" x14ac:dyDescent="0.25">
      <c r="A21" s="4">
        <v>20</v>
      </c>
      <c r="B21" s="4">
        <v>2</v>
      </c>
      <c r="C21" s="3">
        <f>Assumptions!$B$5*Assumptions!$B$32*Assumptions!$B$6*D21</f>
      </c>
      <c r="D21" s="5">
        <f>IF(A21&lt;=3,Assumptions!$B$21,IF(A21&lt;=6,Assumptions!$B$22,IF(A21&lt;=12,Assumptions!$B$23,Assumptions!$B$24)))/100</f>
      </c>
      <c r="E21" s="3">
        <f>Assumptions!$B$5*Assumptions!$B$33*Assumptions!$B$6*D21</f>
      </c>
      <c r="F21" s="3">
        <f>Assumptions!$B$5*Assumptions!$B$7*Assumptions!$B$6*D21</f>
      </c>
      <c r="G21" s="3">
        <f>Assumptions!$B$8</f>
      </c>
      <c r="H21" s="3">
        <f>IF(INDEX(Assumptions!$B$35:$B$47,B21)&lt;&gt;"",INDEX(Assumptions!$B$35:$B$47,B21)/100*Assumptions!$B$2,IF(B21&lt;=Assumptions!$B$17,0,IF(B21&lt;=Assumptions!$B$17+Assumptions!$B$18,Assumptions!$B$19,Assumptions!$B$20)))/12</f>
      </c>
      <c r="I21" s="3">
        <f>IF(Assumptions!$B$12="Cash",0,IF(A21&lt;=Assumptions!$B$15,Monthly!$S$1,0))</f>
      </c>
      <c r="J21" s="3">
        <f>E21-F21-G21-H21-I21</f>
      </c>
      <c r="K21" s="3">
        <f>IF(AND(A21-CEILING(Assumptions!$E$27/30,1)&gt;=1,A21-CEILING(Assumptions!$E$27/30,1)&lt;=156),INDEX($E$2:$E$157,A21-CEILING(Assumptions!$E$27/30,1))*Assumptions!$B$27/100,0)</f>
      </c>
      <c r="L21" s="3">
        <f>IF(AND(A21-CEILING(Assumptions!$E$28/30,1)&gt;=1,A21-CEILING(Assumptions!$E$28/30,1)&lt;=156),INDEX($E$2:$E$157,A21-CEILING(Assumptions!$E$28/30,1))*Assumptions!$B$28/100,0)</f>
      </c>
      <c r="M21" s="3">
        <f>IF(AND(A21-CEILING(Assumptions!$E$29/30,1)&gt;=1,A21-CEILING(Assumptions!$E$29/30,1)&lt;=156),INDEX($E$2:$E$157,A21-CEILING(Assumptions!$E$29/30,1))*Assumptions!$B$29/100,0)</f>
      </c>
      <c r="N21" s="3">
        <f>IF(AND(A21-CEILING(Assumptions!$E$30/30,1)&gt;=1,A21-CEILING(Assumptions!$E$30/30,1)&lt;=156),INDEX($E$2:$E$157,A21-CEILING(Assumptions!$E$30/30,1))*Assumptions!$B$30/100,0)</f>
      </c>
      <c r="O21" s="3">
        <f>IF(AND(A21-CEILING(Assumptions!$E$31/30,1)&gt;=1,A21-CEILING(Assumptions!$E$31/30,1)&lt;=156),INDEX($E$2:$E$157,A21-CEILING(Assumptions!$E$31/30,1))*Assumptions!$B$31/100,0)</f>
      </c>
      <c r="P21" s="3">
        <f>K21+L21+M21+N21+O21</f>
      </c>
      <c r="Q21" s="2"/>
      <c r="R21" s="2"/>
      <c r="S21" s="2"/>
    </row>
    <row r="22" ht="19" customHeight="1" spans="1:19" x14ac:dyDescent="0.25">
      <c r="A22" s="4">
        <v>21</v>
      </c>
      <c r="B22" s="4">
        <v>2</v>
      </c>
      <c r="C22" s="3">
        <f>Assumptions!$B$5*Assumptions!$B$32*Assumptions!$B$6*D22</f>
      </c>
      <c r="D22" s="5">
        <f>IF(A22&lt;=3,Assumptions!$B$21,IF(A22&lt;=6,Assumptions!$B$22,IF(A22&lt;=12,Assumptions!$B$23,Assumptions!$B$24)))/100</f>
      </c>
      <c r="E22" s="3">
        <f>Assumptions!$B$5*Assumptions!$B$33*Assumptions!$B$6*D22</f>
      </c>
      <c r="F22" s="3">
        <f>Assumptions!$B$5*Assumptions!$B$7*Assumptions!$B$6*D22</f>
      </c>
      <c r="G22" s="3">
        <f>Assumptions!$B$8</f>
      </c>
      <c r="H22" s="3">
        <f>IF(INDEX(Assumptions!$B$35:$B$47,B22)&lt;&gt;"",INDEX(Assumptions!$B$35:$B$47,B22)/100*Assumptions!$B$2,IF(B22&lt;=Assumptions!$B$17,0,IF(B22&lt;=Assumptions!$B$17+Assumptions!$B$18,Assumptions!$B$19,Assumptions!$B$20)))/12</f>
      </c>
      <c r="I22" s="3">
        <f>IF(Assumptions!$B$12="Cash",0,IF(A22&lt;=Assumptions!$B$15,Monthly!$S$1,0))</f>
      </c>
      <c r="J22" s="3">
        <f>E22-F22-G22-H22-I22</f>
      </c>
      <c r="K22" s="3">
        <f>IF(AND(A22-CEILING(Assumptions!$E$27/30,1)&gt;=1,A22-CEILING(Assumptions!$E$27/30,1)&lt;=156),INDEX($E$2:$E$157,A22-CEILING(Assumptions!$E$27/30,1))*Assumptions!$B$27/100,0)</f>
      </c>
      <c r="L22" s="3">
        <f>IF(AND(A22-CEILING(Assumptions!$E$28/30,1)&gt;=1,A22-CEILING(Assumptions!$E$28/30,1)&lt;=156),INDEX($E$2:$E$157,A22-CEILING(Assumptions!$E$28/30,1))*Assumptions!$B$28/100,0)</f>
      </c>
      <c r="M22" s="3">
        <f>IF(AND(A22-CEILING(Assumptions!$E$29/30,1)&gt;=1,A22-CEILING(Assumptions!$E$29/30,1)&lt;=156),INDEX($E$2:$E$157,A22-CEILING(Assumptions!$E$29/30,1))*Assumptions!$B$29/100,0)</f>
      </c>
      <c r="N22" s="3">
        <f>IF(AND(A22-CEILING(Assumptions!$E$30/30,1)&gt;=1,A22-CEILING(Assumptions!$E$30/30,1)&lt;=156),INDEX($E$2:$E$157,A22-CEILING(Assumptions!$E$30/30,1))*Assumptions!$B$30/100,0)</f>
      </c>
      <c r="O22" s="3">
        <f>IF(AND(A22-CEILING(Assumptions!$E$31/30,1)&gt;=1,A22-CEILING(Assumptions!$E$31/30,1)&lt;=156),INDEX($E$2:$E$157,A22-CEILING(Assumptions!$E$31/30,1))*Assumptions!$B$31/100,0)</f>
      </c>
      <c r="P22" s="3">
        <f>K22+L22+M22+N22+O22</f>
      </c>
      <c r="Q22" s="2"/>
      <c r="R22" s="2"/>
      <c r="S22" s="2"/>
    </row>
    <row r="23" ht="19" customHeight="1" spans="1:19" x14ac:dyDescent="0.25">
      <c r="A23" s="4">
        <v>22</v>
      </c>
      <c r="B23" s="4">
        <v>2</v>
      </c>
      <c r="C23" s="3">
        <f>Assumptions!$B$5*Assumptions!$B$32*Assumptions!$B$6*D23</f>
      </c>
      <c r="D23" s="5">
        <f>IF(A23&lt;=3,Assumptions!$B$21,IF(A23&lt;=6,Assumptions!$B$22,IF(A23&lt;=12,Assumptions!$B$23,Assumptions!$B$24)))/100</f>
      </c>
      <c r="E23" s="3">
        <f>Assumptions!$B$5*Assumptions!$B$33*Assumptions!$B$6*D23</f>
      </c>
      <c r="F23" s="3">
        <f>Assumptions!$B$5*Assumptions!$B$7*Assumptions!$B$6*D23</f>
      </c>
      <c r="G23" s="3">
        <f>Assumptions!$B$8</f>
      </c>
      <c r="H23" s="3">
        <f>IF(INDEX(Assumptions!$B$35:$B$47,B23)&lt;&gt;"",INDEX(Assumptions!$B$35:$B$47,B23)/100*Assumptions!$B$2,IF(B23&lt;=Assumptions!$B$17,0,IF(B23&lt;=Assumptions!$B$17+Assumptions!$B$18,Assumptions!$B$19,Assumptions!$B$20)))/12</f>
      </c>
      <c r="I23" s="3">
        <f>IF(Assumptions!$B$12="Cash",0,IF(A23&lt;=Assumptions!$B$15,Monthly!$S$1,0))</f>
      </c>
      <c r="J23" s="3">
        <f>E23-F23-G23-H23-I23</f>
      </c>
      <c r="K23" s="3">
        <f>IF(AND(A23-CEILING(Assumptions!$E$27/30,1)&gt;=1,A23-CEILING(Assumptions!$E$27/30,1)&lt;=156),INDEX($E$2:$E$157,A23-CEILING(Assumptions!$E$27/30,1))*Assumptions!$B$27/100,0)</f>
      </c>
      <c r="L23" s="3">
        <f>IF(AND(A23-CEILING(Assumptions!$E$28/30,1)&gt;=1,A23-CEILING(Assumptions!$E$28/30,1)&lt;=156),INDEX($E$2:$E$157,A23-CEILING(Assumptions!$E$28/30,1))*Assumptions!$B$28/100,0)</f>
      </c>
      <c r="M23" s="3">
        <f>IF(AND(A23-CEILING(Assumptions!$E$29/30,1)&gt;=1,A23-CEILING(Assumptions!$E$29/30,1)&lt;=156),INDEX($E$2:$E$157,A23-CEILING(Assumptions!$E$29/30,1))*Assumptions!$B$29/100,0)</f>
      </c>
      <c r="N23" s="3">
        <f>IF(AND(A23-CEILING(Assumptions!$E$30/30,1)&gt;=1,A23-CEILING(Assumptions!$E$30/30,1)&lt;=156),INDEX($E$2:$E$157,A23-CEILING(Assumptions!$E$30/30,1))*Assumptions!$B$30/100,0)</f>
      </c>
      <c r="O23" s="3">
        <f>IF(AND(A23-CEILING(Assumptions!$E$31/30,1)&gt;=1,A23-CEILING(Assumptions!$E$31/30,1)&lt;=156),INDEX($E$2:$E$157,A23-CEILING(Assumptions!$E$31/30,1))*Assumptions!$B$31/100,0)</f>
      </c>
      <c r="P23" s="3">
        <f>K23+L23+M23+N23+O23</f>
      </c>
      <c r="Q23" s="2"/>
      <c r="R23" s="2"/>
      <c r="S23" s="2"/>
    </row>
    <row r="24" ht="19" customHeight="1" spans="1:19" x14ac:dyDescent="0.25">
      <c r="A24" s="4">
        <v>23</v>
      </c>
      <c r="B24" s="4">
        <v>2</v>
      </c>
      <c r="C24" s="3">
        <f>Assumptions!$B$5*Assumptions!$B$32*Assumptions!$B$6*D24</f>
      </c>
      <c r="D24" s="5">
        <f>IF(A24&lt;=3,Assumptions!$B$21,IF(A24&lt;=6,Assumptions!$B$22,IF(A24&lt;=12,Assumptions!$B$23,Assumptions!$B$24)))/100</f>
      </c>
      <c r="E24" s="3">
        <f>Assumptions!$B$5*Assumptions!$B$33*Assumptions!$B$6*D24</f>
      </c>
      <c r="F24" s="3">
        <f>Assumptions!$B$5*Assumptions!$B$7*Assumptions!$B$6*D24</f>
      </c>
      <c r="G24" s="3">
        <f>Assumptions!$B$8</f>
      </c>
      <c r="H24" s="3">
        <f>IF(INDEX(Assumptions!$B$35:$B$47,B24)&lt;&gt;"",INDEX(Assumptions!$B$35:$B$47,B24)/100*Assumptions!$B$2,IF(B24&lt;=Assumptions!$B$17,0,IF(B24&lt;=Assumptions!$B$17+Assumptions!$B$18,Assumptions!$B$19,Assumptions!$B$20)))/12</f>
      </c>
      <c r="I24" s="3">
        <f>IF(Assumptions!$B$12="Cash",0,IF(A24&lt;=Assumptions!$B$15,Monthly!$S$1,0))</f>
      </c>
      <c r="J24" s="3">
        <f>E24-F24-G24-H24-I24</f>
      </c>
      <c r="K24" s="3">
        <f>IF(AND(A24-CEILING(Assumptions!$E$27/30,1)&gt;=1,A24-CEILING(Assumptions!$E$27/30,1)&lt;=156),INDEX($E$2:$E$157,A24-CEILING(Assumptions!$E$27/30,1))*Assumptions!$B$27/100,0)</f>
      </c>
      <c r="L24" s="3">
        <f>IF(AND(A24-CEILING(Assumptions!$E$28/30,1)&gt;=1,A24-CEILING(Assumptions!$E$28/30,1)&lt;=156),INDEX($E$2:$E$157,A24-CEILING(Assumptions!$E$28/30,1))*Assumptions!$B$28/100,0)</f>
      </c>
      <c r="M24" s="3">
        <f>IF(AND(A24-CEILING(Assumptions!$E$29/30,1)&gt;=1,A24-CEILING(Assumptions!$E$29/30,1)&lt;=156),INDEX($E$2:$E$157,A24-CEILING(Assumptions!$E$29/30,1))*Assumptions!$B$29/100,0)</f>
      </c>
      <c r="N24" s="3">
        <f>IF(AND(A24-CEILING(Assumptions!$E$30/30,1)&gt;=1,A24-CEILING(Assumptions!$E$30/30,1)&lt;=156),INDEX($E$2:$E$157,A24-CEILING(Assumptions!$E$30/30,1))*Assumptions!$B$30/100,0)</f>
      </c>
      <c r="O24" s="3">
        <f>IF(AND(A24-CEILING(Assumptions!$E$31/30,1)&gt;=1,A24-CEILING(Assumptions!$E$31/30,1)&lt;=156),INDEX($E$2:$E$157,A24-CEILING(Assumptions!$E$31/30,1))*Assumptions!$B$31/100,0)</f>
      </c>
      <c r="P24" s="3">
        <f>K24+L24+M24+N24+O24</f>
      </c>
      <c r="Q24" s="2"/>
      <c r="R24" s="2"/>
      <c r="S24" s="2"/>
    </row>
    <row r="25" ht="19" customHeight="1" spans="1:19" x14ac:dyDescent="0.25">
      <c r="A25" s="4">
        <v>24</v>
      </c>
      <c r="B25" s="4">
        <v>2</v>
      </c>
      <c r="C25" s="3">
        <f>Assumptions!$B$5*Assumptions!$B$32*Assumptions!$B$6*D25</f>
      </c>
      <c r="D25" s="5">
        <f>IF(A25&lt;=3,Assumptions!$B$21,IF(A25&lt;=6,Assumptions!$B$22,IF(A25&lt;=12,Assumptions!$B$23,Assumptions!$B$24)))/100</f>
      </c>
      <c r="E25" s="3">
        <f>Assumptions!$B$5*Assumptions!$B$33*Assumptions!$B$6*D25</f>
      </c>
      <c r="F25" s="3">
        <f>Assumptions!$B$5*Assumptions!$B$7*Assumptions!$B$6*D25</f>
      </c>
      <c r="G25" s="3">
        <f>Assumptions!$B$8</f>
      </c>
      <c r="H25" s="3">
        <f>IF(INDEX(Assumptions!$B$35:$B$47,B25)&lt;&gt;"",INDEX(Assumptions!$B$35:$B$47,B25)/100*Assumptions!$B$2,IF(B25&lt;=Assumptions!$B$17,0,IF(B25&lt;=Assumptions!$B$17+Assumptions!$B$18,Assumptions!$B$19,Assumptions!$B$20)))/12</f>
      </c>
      <c r="I25" s="3">
        <f>IF(Assumptions!$B$12="Cash",0,IF(A25&lt;=Assumptions!$B$15,Monthly!$S$1,0))</f>
      </c>
      <c r="J25" s="3">
        <f>E25-F25-G25-H25-I25</f>
      </c>
      <c r="K25" s="3">
        <f>IF(AND(A25-CEILING(Assumptions!$E$27/30,1)&gt;=1,A25-CEILING(Assumptions!$E$27/30,1)&lt;=156),INDEX($E$2:$E$157,A25-CEILING(Assumptions!$E$27/30,1))*Assumptions!$B$27/100,0)</f>
      </c>
      <c r="L25" s="3">
        <f>IF(AND(A25-CEILING(Assumptions!$E$28/30,1)&gt;=1,A25-CEILING(Assumptions!$E$28/30,1)&lt;=156),INDEX($E$2:$E$157,A25-CEILING(Assumptions!$E$28/30,1))*Assumptions!$B$28/100,0)</f>
      </c>
      <c r="M25" s="3">
        <f>IF(AND(A25-CEILING(Assumptions!$E$29/30,1)&gt;=1,A25-CEILING(Assumptions!$E$29/30,1)&lt;=156),INDEX($E$2:$E$157,A25-CEILING(Assumptions!$E$29/30,1))*Assumptions!$B$29/100,0)</f>
      </c>
      <c r="N25" s="3">
        <f>IF(AND(A25-CEILING(Assumptions!$E$30/30,1)&gt;=1,A25-CEILING(Assumptions!$E$30/30,1)&lt;=156),INDEX($E$2:$E$157,A25-CEILING(Assumptions!$E$30/30,1))*Assumptions!$B$30/100,0)</f>
      </c>
      <c r="O25" s="3">
        <f>IF(AND(A25-CEILING(Assumptions!$E$31/30,1)&gt;=1,A25-CEILING(Assumptions!$E$31/30,1)&lt;=156),INDEX($E$2:$E$157,A25-CEILING(Assumptions!$E$31/30,1))*Assumptions!$B$31/100,0)</f>
      </c>
      <c r="P25" s="3">
        <f>K25+L25+M25+N25+O25</f>
      </c>
      <c r="Q25" s="2"/>
      <c r="R25" s="2"/>
      <c r="S25" s="2"/>
    </row>
    <row r="26" ht="19" customHeight="1" spans="1:19" x14ac:dyDescent="0.25">
      <c r="A26" s="4">
        <v>25</v>
      </c>
      <c r="B26" s="4">
        <v>3</v>
      </c>
      <c r="C26" s="3">
        <f>Assumptions!$B$5*Assumptions!$B$32*Assumptions!$B$6*D26</f>
      </c>
      <c r="D26" s="5">
        <f>IF(A26&lt;=3,Assumptions!$B$21,IF(A26&lt;=6,Assumptions!$B$22,IF(A26&lt;=12,Assumptions!$B$23,Assumptions!$B$24)))/100</f>
      </c>
      <c r="E26" s="3">
        <f>Assumptions!$B$5*Assumptions!$B$33*Assumptions!$B$6*D26</f>
      </c>
      <c r="F26" s="3">
        <f>Assumptions!$B$5*Assumptions!$B$7*Assumptions!$B$6*D26</f>
      </c>
      <c r="G26" s="3">
        <f>Assumptions!$B$8</f>
      </c>
      <c r="H26" s="3">
        <f>IF(INDEX(Assumptions!$B$35:$B$47,B26)&lt;&gt;"",INDEX(Assumptions!$B$35:$B$47,B26)/100*Assumptions!$B$2,IF(B26&lt;=Assumptions!$B$17,0,IF(B26&lt;=Assumptions!$B$17+Assumptions!$B$18,Assumptions!$B$19,Assumptions!$B$20)))/12</f>
      </c>
      <c r="I26" s="3">
        <f>IF(Assumptions!$B$12="Cash",0,IF(A26&lt;=Assumptions!$B$15,Monthly!$S$1,0))</f>
      </c>
      <c r="J26" s="3">
        <f>E26-F26-G26-H26-I26</f>
      </c>
      <c r="K26" s="3">
        <f>IF(AND(A26-CEILING(Assumptions!$E$27/30,1)&gt;=1,A26-CEILING(Assumptions!$E$27/30,1)&lt;=156),INDEX($E$2:$E$157,A26-CEILING(Assumptions!$E$27/30,1))*Assumptions!$B$27/100,0)</f>
      </c>
      <c r="L26" s="3">
        <f>IF(AND(A26-CEILING(Assumptions!$E$28/30,1)&gt;=1,A26-CEILING(Assumptions!$E$28/30,1)&lt;=156),INDEX($E$2:$E$157,A26-CEILING(Assumptions!$E$28/30,1))*Assumptions!$B$28/100,0)</f>
      </c>
      <c r="M26" s="3">
        <f>IF(AND(A26-CEILING(Assumptions!$E$29/30,1)&gt;=1,A26-CEILING(Assumptions!$E$29/30,1)&lt;=156),INDEX($E$2:$E$157,A26-CEILING(Assumptions!$E$29/30,1))*Assumptions!$B$29/100,0)</f>
      </c>
      <c r="N26" s="3">
        <f>IF(AND(A26-CEILING(Assumptions!$E$30/30,1)&gt;=1,A26-CEILING(Assumptions!$E$30/30,1)&lt;=156),INDEX($E$2:$E$157,A26-CEILING(Assumptions!$E$30/30,1))*Assumptions!$B$30/100,0)</f>
      </c>
      <c r="O26" s="3">
        <f>IF(AND(A26-CEILING(Assumptions!$E$31/30,1)&gt;=1,A26-CEILING(Assumptions!$E$31/30,1)&lt;=156),INDEX($E$2:$E$157,A26-CEILING(Assumptions!$E$31/30,1))*Assumptions!$B$31/100,0)</f>
      </c>
      <c r="P26" s="3">
        <f>K26+L26+M26+N26+O26</f>
      </c>
      <c r="Q26" s="2"/>
      <c r="R26" s="2"/>
      <c r="S26" s="2"/>
    </row>
    <row r="27" ht="19" customHeight="1" spans="1:19" x14ac:dyDescent="0.25">
      <c r="A27" s="4">
        <v>26</v>
      </c>
      <c r="B27" s="4">
        <v>3</v>
      </c>
      <c r="C27" s="3">
        <f>Assumptions!$B$5*Assumptions!$B$32*Assumptions!$B$6*D27</f>
      </c>
      <c r="D27" s="5">
        <f>IF(A27&lt;=3,Assumptions!$B$21,IF(A27&lt;=6,Assumptions!$B$22,IF(A27&lt;=12,Assumptions!$B$23,Assumptions!$B$24)))/100</f>
      </c>
      <c r="E27" s="3">
        <f>Assumptions!$B$5*Assumptions!$B$33*Assumptions!$B$6*D27</f>
      </c>
      <c r="F27" s="3">
        <f>Assumptions!$B$5*Assumptions!$B$7*Assumptions!$B$6*D27</f>
      </c>
      <c r="G27" s="3">
        <f>Assumptions!$B$8</f>
      </c>
      <c r="H27" s="3">
        <f>IF(INDEX(Assumptions!$B$35:$B$47,B27)&lt;&gt;"",INDEX(Assumptions!$B$35:$B$47,B27)/100*Assumptions!$B$2,IF(B27&lt;=Assumptions!$B$17,0,IF(B27&lt;=Assumptions!$B$17+Assumptions!$B$18,Assumptions!$B$19,Assumptions!$B$20)))/12</f>
      </c>
      <c r="I27" s="3">
        <f>IF(Assumptions!$B$12="Cash",0,IF(A27&lt;=Assumptions!$B$15,Monthly!$S$1,0))</f>
      </c>
      <c r="J27" s="3">
        <f>E27-F27-G27-H27-I27</f>
      </c>
      <c r="K27" s="3">
        <f>IF(AND(A27-CEILING(Assumptions!$E$27/30,1)&gt;=1,A27-CEILING(Assumptions!$E$27/30,1)&lt;=156),INDEX($E$2:$E$157,A27-CEILING(Assumptions!$E$27/30,1))*Assumptions!$B$27/100,0)</f>
      </c>
      <c r="L27" s="3">
        <f>IF(AND(A27-CEILING(Assumptions!$E$28/30,1)&gt;=1,A27-CEILING(Assumptions!$E$28/30,1)&lt;=156),INDEX($E$2:$E$157,A27-CEILING(Assumptions!$E$28/30,1))*Assumptions!$B$28/100,0)</f>
      </c>
      <c r="M27" s="3">
        <f>IF(AND(A27-CEILING(Assumptions!$E$29/30,1)&gt;=1,A27-CEILING(Assumptions!$E$29/30,1)&lt;=156),INDEX($E$2:$E$157,A27-CEILING(Assumptions!$E$29/30,1))*Assumptions!$B$29/100,0)</f>
      </c>
      <c r="N27" s="3">
        <f>IF(AND(A27-CEILING(Assumptions!$E$30/30,1)&gt;=1,A27-CEILING(Assumptions!$E$30/30,1)&lt;=156),INDEX($E$2:$E$157,A27-CEILING(Assumptions!$E$30/30,1))*Assumptions!$B$30/100,0)</f>
      </c>
      <c r="O27" s="3">
        <f>IF(AND(A27-CEILING(Assumptions!$E$31/30,1)&gt;=1,A27-CEILING(Assumptions!$E$31/30,1)&lt;=156),INDEX($E$2:$E$157,A27-CEILING(Assumptions!$E$31/30,1))*Assumptions!$B$31/100,0)</f>
      </c>
      <c r="P27" s="3">
        <f>K27+L27+M27+N27+O27</f>
      </c>
      <c r="Q27" s="2"/>
      <c r="R27" s="2"/>
      <c r="S27" s="2"/>
    </row>
    <row r="28" ht="19" customHeight="1" spans="1:19" x14ac:dyDescent="0.25">
      <c r="A28" s="4">
        <v>27</v>
      </c>
      <c r="B28" s="4">
        <v>3</v>
      </c>
      <c r="C28" s="3">
        <f>Assumptions!$B$5*Assumptions!$B$32*Assumptions!$B$6*D28</f>
      </c>
      <c r="D28" s="5">
        <f>IF(A28&lt;=3,Assumptions!$B$21,IF(A28&lt;=6,Assumptions!$B$22,IF(A28&lt;=12,Assumptions!$B$23,Assumptions!$B$24)))/100</f>
      </c>
      <c r="E28" s="3">
        <f>Assumptions!$B$5*Assumptions!$B$33*Assumptions!$B$6*D28</f>
      </c>
      <c r="F28" s="3">
        <f>Assumptions!$B$5*Assumptions!$B$7*Assumptions!$B$6*D28</f>
      </c>
      <c r="G28" s="3">
        <f>Assumptions!$B$8</f>
      </c>
      <c r="H28" s="3">
        <f>IF(INDEX(Assumptions!$B$35:$B$47,B28)&lt;&gt;"",INDEX(Assumptions!$B$35:$B$47,B28)/100*Assumptions!$B$2,IF(B28&lt;=Assumptions!$B$17,0,IF(B28&lt;=Assumptions!$B$17+Assumptions!$B$18,Assumptions!$B$19,Assumptions!$B$20)))/12</f>
      </c>
      <c r="I28" s="3">
        <f>IF(Assumptions!$B$12="Cash",0,IF(A28&lt;=Assumptions!$B$15,Monthly!$S$1,0))</f>
      </c>
      <c r="J28" s="3">
        <f>E28-F28-G28-H28-I28</f>
      </c>
      <c r="K28" s="3">
        <f>IF(AND(A28-CEILING(Assumptions!$E$27/30,1)&gt;=1,A28-CEILING(Assumptions!$E$27/30,1)&lt;=156),INDEX($E$2:$E$157,A28-CEILING(Assumptions!$E$27/30,1))*Assumptions!$B$27/100,0)</f>
      </c>
      <c r="L28" s="3">
        <f>IF(AND(A28-CEILING(Assumptions!$E$28/30,1)&gt;=1,A28-CEILING(Assumptions!$E$28/30,1)&lt;=156),INDEX($E$2:$E$157,A28-CEILING(Assumptions!$E$28/30,1))*Assumptions!$B$28/100,0)</f>
      </c>
      <c r="M28" s="3">
        <f>IF(AND(A28-CEILING(Assumptions!$E$29/30,1)&gt;=1,A28-CEILING(Assumptions!$E$29/30,1)&lt;=156),INDEX($E$2:$E$157,A28-CEILING(Assumptions!$E$29/30,1))*Assumptions!$B$29/100,0)</f>
      </c>
      <c r="N28" s="3">
        <f>IF(AND(A28-CEILING(Assumptions!$E$30/30,1)&gt;=1,A28-CEILING(Assumptions!$E$30/30,1)&lt;=156),INDEX($E$2:$E$157,A28-CEILING(Assumptions!$E$30/30,1))*Assumptions!$B$30/100,0)</f>
      </c>
      <c r="O28" s="3">
        <f>IF(AND(A28-CEILING(Assumptions!$E$31/30,1)&gt;=1,A28-CEILING(Assumptions!$E$31/30,1)&lt;=156),INDEX($E$2:$E$157,A28-CEILING(Assumptions!$E$31/30,1))*Assumptions!$B$31/100,0)</f>
      </c>
      <c r="P28" s="3">
        <f>K28+L28+M28+N28+O28</f>
      </c>
      <c r="Q28" s="2"/>
      <c r="R28" s="2"/>
      <c r="S28" s="2"/>
    </row>
    <row r="29" ht="19" customHeight="1" spans="1:19" x14ac:dyDescent="0.25">
      <c r="A29" s="4">
        <v>28</v>
      </c>
      <c r="B29" s="4">
        <v>3</v>
      </c>
      <c r="C29" s="3">
        <f>Assumptions!$B$5*Assumptions!$B$32*Assumptions!$B$6*D29</f>
      </c>
      <c r="D29" s="5">
        <f>IF(A29&lt;=3,Assumptions!$B$21,IF(A29&lt;=6,Assumptions!$B$22,IF(A29&lt;=12,Assumptions!$B$23,Assumptions!$B$24)))/100</f>
      </c>
      <c r="E29" s="3">
        <f>Assumptions!$B$5*Assumptions!$B$33*Assumptions!$B$6*D29</f>
      </c>
      <c r="F29" s="3">
        <f>Assumptions!$B$5*Assumptions!$B$7*Assumptions!$B$6*D29</f>
      </c>
      <c r="G29" s="3">
        <f>Assumptions!$B$8</f>
      </c>
      <c r="H29" s="3">
        <f>IF(INDEX(Assumptions!$B$35:$B$47,B29)&lt;&gt;"",INDEX(Assumptions!$B$35:$B$47,B29)/100*Assumptions!$B$2,IF(B29&lt;=Assumptions!$B$17,0,IF(B29&lt;=Assumptions!$B$17+Assumptions!$B$18,Assumptions!$B$19,Assumptions!$B$20)))/12</f>
      </c>
      <c r="I29" s="3">
        <f>IF(Assumptions!$B$12="Cash",0,IF(A29&lt;=Assumptions!$B$15,Monthly!$S$1,0))</f>
      </c>
      <c r="J29" s="3">
        <f>E29-F29-G29-H29-I29</f>
      </c>
      <c r="K29" s="3">
        <f>IF(AND(A29-CEILING(Assumptions!$E$27/30,1)&gt;=1,A29-CEILING(Assumptions!$E$27/30,1)&lt;=156),INDEX($E$2:$E$157,A29-CEILING(Assumptions!$E$27/30,1))*Assumptions!$B$27/100,0)</f>
      </c>
      <c r="L29" s="3">
        <f>IF(AND(A29-CEILING(Assumptions!$E$28/30,1)&gt;=1,A29-CEILING(Assumptions!$E$28/30,1)&lt;=156),INDEX($E$2:$E$157,A29-CEILING(Assumptions!$E$28/30,1))*Assumptions!$B$28/100,0)</f>
      </c>
      <c r="M29" s="3">
        <f>IF(AND(A29-CEILING(Assumptions!$E$29/30,1)&gt;=1,A29-CEILING(Assumptions!$E$29/30,1)&lt;=156),INDEX($E$2:$E$157,A29-CEILING(Assumptions!$E$29/30,1))*Assumptions!$B$29/100,0)</f>
      </c>
      <c r="N29" s="3">
        <f>IF(AND(A29-CEILING(Assumptions!$E$30/30,1)&gt;=1,A29-CEILING(Assumptions!$E$30/30,1)&lt;=156),INDEX($E$2:$E$157,A29-CEILING(Assumptions!$E$30/30,1))*Assumptions!$B$30/100,0)</f>
      </c>
      <c r="O29" s="3">
        <f>IF(AND(A29-CEILING(Assumptions!$E$31/30,1)&gt;=1,A29-CEILING(Assumptions!$E$31/30,1)&lt;=156),INDEX($E$2:$E$157,A29-CEILING(Assumptions!$E$31/30,1))*Assumptions!$B$31/100,0)</f>
      </c>
      <c r="P29" s="3">
        <f>K29+L29+M29+N29+O29</f>
      </c>
      <c r="Q29" s="2"/>
      <c r="R29" s="2"/>
      <c r="S29" s="2"/>
    </row>
    <row r="30" ht="19" customHeight="1" spans="1:19" x14ac:dyDescent="0.25">
      <c r="A30" s="4">
        <v>29</v>
      </c>
      <c r="B30" s="4">
        <v>3</v>
      </c>
      <c r="C30" s="3">
        <f>Assumptions!$B$5*Assumptions!$B$32*Assumptions!$B$6*D30</f>
      </c>
      <c r="D30" s="5">
        <f>IF(A30&lt;=3,Assumptions!$B$21,IF(A30&lt;=6,Assumptions!$B$22,IF(A30&lt;=12,Assumptions!$B$23,Assumptions!$B$24)))/100</f>
      </c>
      <c r="E30" s="3">
        <f>Assumptions!$B$5*Assumptions!$B$33*Assumptions!$B$6*D30</f>
      </c>
      <c r="F30" s="3">
        <f>Assumptions!$B$5*Assumptions!$B$7*Assumptions!$B$6*D30</f>
      </c>
      <c r="G30" s="3">
        <f>Assumptions!$B$8</f>
      </c>
      <c r="H30" s="3">
        <f>IF(INDEX(Assumptions!$B$35:$B$47,B30)&lt;&gt;"",INDEX(Assumptions!$B$35:$B$47,B30)/100*Assumptions!$B$2,IF(B30&lt;=Assumptions!$B$17,0,IF(B30&lt;=Assumptions!$B$17+Assumptions!$B$18,Assumptions!$B$19,Assumptions!$B$20)))/12</f>
      </c>
      <c r="I30" s="3">
        <f>IF(Assumptions!$B$12="Cash",0,IF(A30&lt;=Assumptions!$B$15,Monthly!$S$1,0))</f>
      </c>
      <c r="J30" s="3">
        <f>E30-F30-G30-H30-I30</f>
      </c>
      <c r="K30" s="3">
        <f>IF(AND(A30-CEILING(Assumptions!$E$27/30,1)&gt;=1,A30-CEILING(Assumptions!$E$27/30,1)&lt;=156),INDEX($E$2:$E$157,A30-CEILING(Assumptions!$E$27/30,1))*Assumptions!$B$27/100,0)</f>
      </c>
      <c r="L30" s="3">
        <f>IF(AND(A30-CEILING(Assumptions!$E$28/30,1)&gt;=1,A30-CEILING(Assumptions!$E$28/30,1)&lt;=156),INDEX($E$2:$E$157,A30-CEILING(Assumptions!$E$28/30,1))*Assumptions!$B$28/100,0)</f>
      </c>
      <c r="M30" s="3">
        <f>IF(AND(A30-CEILING(Assumptions!$E$29/30,1)&gt;=1,A30-CEILING(Assumptions!$E$29/30,1)&lt;=156),INDEX($E$2:$E$157,A30-CEILING(Assumptions!$E$29/30,1))*Assumptions!$B$29/100,0)</f>
      </c>
      <c r="N30" s="3">
        <f>IF(AND(A30-CEILING(Assumptions!$E$30/30,1)&gt;=1,A30-CEILING(Assumptions!$E$30/30,1)&lt;=156),INDEX($E$2:$E$157,A30-CEILING(Assumptions!$E$30/30,1))*Assumptions!$B$30/100,0)</f>
      </c>
      <c r="O30" s="3">
        <f>IF(AND(A30-CEILING(Assumptions!$E$31/30,1)&gt;=1,A30-CEILING(Assumptions!$E$31/30,1)&lt;=156),INDEX($E$2:$E$157,A30-CEILING(Assumptions!$E$31/30,1))*Assumptions!$B$31/100,0)</f>
      </c>
      <c r="P30" s="3">
        <f>K30+L30+M30+N30+O30</f>
      </c>
      <c r="Q30" s="2"/>
      <c r="R30" s="2"/>
      <c r="S30" s="2"/>
    </row>
    <row r="31" ht="19" customHeight="1" spans="1:19" x14ac:dyDescent="0.25">
      <c r="A31" s="4">
        <v>30</v>
      </c>
      <c r="B31" s="4">
        <v>3</v>
      </c>
      <c r="C31" s="3">
        <f>Assumptions!$B$5*Assumptions!$B$32*Assumptions!$B$6*D31</f>
      </c>
      <c r="D31" s="5">
        <f>IF(A31&lt;=3,Assumptions!$B$21,IF(A31&lt;=6,Assumptions!$B$22,IF(A31&lt;=12,Assumptions!$B$23,Assumptions!$B$24)))/100</f>
      </c>
      <c r="E31" s="3">
        <f>Assumptions!$B$5*Assumptions!$B$33*Assumptions!$B$6*D31</f>
      </c>
      <c r="F31" s="3">
        <f>Assumptions!$B$5*Assumptions!$B$7*Assumptions!$B$6*D31</f>
      </c>
      <c r="G31" s="3">
        <f>Assumptions!$B$8</f>
      </c>
      <c r="H31" s="3">
        <f>IF(INDEX(Assumptions!$B$35:$B$47,B31)&lt;&gt;"",INDEX(Assumptions!$B$35:$B$47,B31)/100*Assumptions!$B$2,IF(B31&lt;=Assumptions!$B$17,0,IF(B31&lt;=Assumptions!$B$17+Assumptions!$B$18,Assumptions!$B$19,Assumptions!$B$20)))/12</f>
      </c>
      <c r="I31" s="3">
        <f>IF(Assumptions!$B$12="Cash",0,IF(A31&lt;=Assumptions!$B$15,Monthly!$S$1,0))</f>
      </c>
      <c r="J31" s="3">
        <f>E31-F31-G31-H31-I31</f>
      </c>
      <c r="K31" s="3">
        <f>IF(AND(A31-CEILING(Assumptions!$E$27/30,1)&gt;=1,A31-CEILING(Assumptions!$E$27/30,1)&lt;=156),INDEX($E$2:$E$157,A31-CEILING(Assumptions!$E$27/30,1))*Assumptions!$B$27/100,0)</f>
      </c>
      <c r="L31" s="3">
        <f>IF(AND(A31-CEILING(Assumptions!$E$28/30,1)&gt;=1,A31-CEILING(Assumptions!$E$28/30,1)&lt;=156),INDEX($E$2:$E$157,A31-CEILING(Assumptions!$E$28/30,1))*Assumptions!$B$28/100,0)</f>
      </c>
      <c r="M31" s="3">
        <f>IF(AND(A31-CEILING(Assumptions!$E$29/30,1)&gt;=1,A31-CEILING(Assumptions!$E$29/30,1)&lt;=156),INDEX($E$2:$E$157,A31-CEILING(Assumptions!$E$29/30,1))*Assumptions!$B$29/100,0)</f>
      </c>
      <c r="N31" s="3">
        <f>IF(AND(A31-CEILING(Assumptions!$E$30/30,1)&gt;=1,A31-CEILING(Assumptions!$E$30/30,1)&lt;=156),INDEX($E$2:$E$157,A31-CEILING(Assumptions!$E$30/30,1))*Assumptions!$B$30/100,0)</f>
      </c>
      <c r="O31" s="3">
        <f>IF(AND(A31-CEILING(Assumptions!$E$31/30,1)&gt;=1,A31-CEILING(Assumptions!$E$31/30,1)&lt;=156),INDEX($E$2:$E$157,A31-CEILING(Assumptions!$E$31/30,1))*Assumptions!$B$31/100,0)</f>
      </c>
      <c r="P31" s="3">
        <f>K31+L31+M31+N31+O31</f>
      </c>
      <c r="Q31" s="2"/>
      <c r="R31" s="2"/>
      <c r="S31" s="2"/>
    </row>
    <row r="32" ht="19" customHeight="1" spans="1:19" x14ac:dyDescent="0.25">
      <c r="A32" s="4">
        <v>31</v>
      </c>
      <c r="B32" s="4">
        <v>3</v>
      </c>
      <c r="C32" s="3">
        <f>Assumptions!$B$5*Assumptions!$B$32*Assumptions!$B$6*D32</f>
      </c>
      <c r="D32" s="5">
        <f>IF(A32&lt;=3,Assumptions!$B$21,IF(A32&lt;=6,Assumptions!$B$22,IF(A32&lt;=12,Assumptions!$B$23,Assumptions!$B$24)))/100</f>
      </c>
      <c r="E32" s="3">
        <f>Assumptions!$B$5*Assumptions!$B$33*Assumptions!$B$6*D32</f>
      </c>
      <c r="F32" s="3">
        <f>Assumptions!$B$5*Assumptions!$B$7*Assumptions!$B$6*D32</f>
      </c>
      <c r="G32" s="3">
        <f>Assumptions!$B$8</f>
      </c>
      <c r="H32" s="3">
        <f>IF(INDEX(Assumptions!$B$35:$B$47,B32)&lt;&gt;"",INDEX(Assumptions!$B$35:$B$47,B32)/100*Assumptions!$B$2,IF(B32&lt;=Assumptions!$B$17,0,IF(B32&lt;=Assumptions!$B$17+Assumptions!$B$18,Assumptions!$B$19,Assumptions!$B$20)))/12</f>
      </c>
      <c r="I32" s="3">
        <f>IF(Assumptions!$B$12="Cash",0,IF(A32&lt;=Assumptions!$B$15,Monthly!$S$1,0))</f>
      </c>
      <c r="J32" s="3">
        <f>E32-F32-G32-H32-I32</f>
      </c>
      <c r="K32" s="3">
        <f>IF(AND(A32-CEILING(Assumptions!$E$27/30,1)&gt;=1,A32-CEILING(Assumptions!$E$27/30,1)&lt;=156),INDEX($E$2:$E$157,A32-CEILING(Assumptions!$E$27/30,1))*Assumptions!$B$27/100,0)</f>
      </c>
      <c r="L32" s="3">
        <f>IF(AND(A32-CEILING(Assumptions!$E$28/30,1)&gt;=1,A32-CEILING(Assumptions!$E$28/30,1)&lt;=156),INDEX($E$2:$E$157,A32-CEILING(Assumptions!$E$28/30,1))*Assumptions!$B$28/100,0)</f>
      </c>
      <c r="M32" s="3">
        <f>IF(AND(A32-CEILING(Assumptions!$E$29/30,1)&gt;=1,A32-CEILING(Assumptions!$E$29/30,1)&lt;=156),INDEX($E$2:$E$157,A32-CEILING(Assumptions!$E$29/30,1))*Assumptions!$B$29/100,0)</f>
      </c>
      <c r="N32" s="3">
        <f>IF(AND(A32-CEILING(Assumptions!$E$30/30,1)&gt;=1,A32-CEILING(Assumptions!$E$30/30,1)&lt;=156),INDEX($E$2:$E$157,A32-CEILING(Assumptions!$E$30/30,1))*Assumptions!$B$30/100,0)</f>
      </c>
      <c r="O32" s="3">
        <f>IF(AND(A32-CEILING(Assumptions!$E$31/30,1)&gt;=1,A32-CEILING(Assumptions!$E$31/30,1)&lt;=156),INDEX($E$2:$E$157,A32-CEILING(Assumptions!$E$31/30,1))*Assumptions!$B$31/100,0)</f>
      </c>
      <c r="P32" s="3">
        <f>K32+L32+M32+N32+O32</f>
      </c>
      <c r="Q32" s="2"/>
      <c r="R32" s="2"/>
      <c r="S32" s="2"/>
    </row>
    <row r="33" ht="19" customHeight="1" spans="1:19" x14ac:dyDescent="0.25">
      <c r="A33" s="4">
        <v>32</v>
      </c>
      <c r="B33" s="4">
        <v>3</v>
      </c>
      <c r="C33" s="3">
        <f>Assumptions!$B$5*Assumptions!$B$32*Assumptions!$B$6*D33</f>
      </c>
      <c r="D33" s="5">
        <f>IF(A33&lt;=3,Assumptions!$B$21,IF(A33&lt;=6,Assumptions!$B$22,IF(A33&lt;=12,Assumptions!$B$23,Assumptions!$B$24)))/100</f>
      </c>
      <c r="E33" s="3">
        <f>Assumptions!$B$5*Assumptions!$B$33*Assumptions!$B$6*D33</f>
      </c>
      <c r="F33" s="3">
        <f>Assumptions!$B$5*Assumptions!$B$7*Assumptions!$B$6*D33</f>
      </c>
      <c r="G33" s="3">
        <f>Assumptions!$B$8</f>
      </c>
      <c r="H33" s="3">
        <f>IF(INDEX(Assumptions!$B$35:$B$47,B33)&lt;&gt;"",INDEX(Assumptions!$B$35:$B$47,B33)/100*Assumptions!$B$2,IF(B33&lt;=Assumptions!$B$17,0,IF(B33&lt;=Assumptions!$B$17+Assumptions!$B$18,Assumptions!$B$19,Assumptions!$B$20)))/12</f>
      </c>
      <c r="I33" s="3">
        <f>IF(Assumptions!$B$12="Cash",0,IF(A33&lt;=Assumptions!$B$15,Monthly!$S$1,0))</f>
      </c>
      <c r="J33" s="3">
        <f>E33-F33-G33-H33-I33</f>
      </c>
      <c r="K33" s="3">
        <f>IF(AND(A33-CEILING(Assumptions!$E$27/30,1)&gt;=1,A33-CEILING(Assumptions!$E$27/30,1)&lt;=156),INDEX($E$2:$E$157,A33-CEILING(Assumptions!$E$27/30,1))*Assumptions!$B$27/100,0)</f>
      </c>
      <c r="L33" s="3">
        <f>IF(AND(A33-CEILING(Assumptions!$E$28/30,1)&gt;=1,A33-CEILING(Assumptions!$E$28/30,1)&lt;=156),INDEX($E$2:$E$157,A33-CEILING(Assumptions!$E$28/30,1))*Assumptions!$B$28/100,0)</f>
      </c>
      <c r="M33" s="3">
        <f>IF(AND(A33-CEILING(Assumptions!$E$29/30,1)&gt;=1,A33-CEILING(Assumptions!$E$29/30,1)&lt;=156),INDEX($E$2:$E$157,A33-CEILING(Assumptions!$E$29/30,1))*Assumptions!$B$29/100,0)</f>
      </c>
      <c r="N33" s="3">
        <f>IF(AND(A33-CEILING(Assumptions!$E$30/30,1)&gt;=1,A33-CEILING(Assumptions!$E$30/30,1)&lt;=156),INDEX($E$2:$E$157,A33-CEILING(Assumptions!$E$30/30,1))*Assumptions!$B$30/100,0)</f>
      </c>
      <c r="O33" s="3">
        <f>IF(AND(A33-CEILING(Assumptions!$E$31/30,1)&gt;=1,A33-CEILING(Assumptions!$E$31/30,1)&lt;=156),INDEX($E$2:$E$157,A33-CEILING(Assumptions!$E$31/30,1))*Assumptions!$B$31/100,0)</f>
      </c>
      <c r="P33" s="3">
        <f>K33+L33+M33+N33+O33</f>
      </c>
      <c r="Q33" s="2"/>
      <c r="R33" s="2"/>
      <c r="S33" s="2"/>
    </row>
    <row r="34" ht="19" customHeight="1" spans="1:19" x14ac:dyDescent="0.25">
      <c r="A34" s="4">
        <v>33</v>
      </c>
      <c r="B34" s="4">
        <v>3</v>
      </c>
      <c r="C34" s="3">
        <f>Assumptions!$B$5*Assumptions!$B$32*Assumptions!$B$6*D34</f>
      </c>
      <c r="D34" s="5">
        <f>IF(A34&lt;=3,Assumptions!$B$21,IF(A34&lt;=6,Assumptions!$B$22,IF(A34&lt;=12,Assumptions!$B$23,Assumptions!$B$24)))/100</f>
      </c>
      <c r="E34" s="3">
        <f>Assumptions!$B$5*Assumptions!$B$33*Assumptions!$B$6*D34</f>
      </c>
      <c r="F34" s="3">
        <f>Assumptions!$B$5*Assumptions!$B$7*Assumptions!$B$6*D34</f>
      </c>
      <c r="G34" s="3">
        <f>Assumptions!$B$8</f>
      </c>
      <c r="H34" s="3">
        <f>IF(INDEX(Assumptions!$B$35:$B$47,B34)&lt;&gt;"",INDEX(Assumptions!$B$35:$B$47,B34)/100*Assumptions!$B$2,IF(B34&lt;=Assumptions!$B$17,0,IF(B34&lt;=Assumptions!$B$17+Assumptions!$B$18,Assumptions!$B$19,Assumptions!$B$20)))/12</f>
      </c>
      <c r="I34" s="3">
        <f>IF(Assumptions!$B$12="Cash",0,IF(A34&lt;=Assumptions!$B$15,Monthly!$S$1,0))</f>
      </c>
      <c r="J34" s="3">
        <f>E34-F34-G34-H34-I34</f>
      </c>
      <c r="K34" s="3">
        <f>IF(AND(A34-CEILING(Assumptions!$E$27/30,1)&gt;=1,A34-CEILING(Assumptions!$E$27/30,1)&lt;=156),INDEX($E$2:$E$157,A34-CEILING(Assumptions!$E$27/30,1))*Assumptions!$B$27/100,0)</f>
      </c>
      <c r="L34" s="3">
        <f>IF(AND(A34-CEILING(Assumptions!$E$28/30,1)&gt;=1,A34-CEILING(Assumptions!$E$28/30,1)&lt;=156),INDEX($E$2:$E$157,A34-CEILING(Assumptions!$E$28/30,1))*Assumptions!$B$28/100,0)</f>
      </c>
      <c r="M34" s="3">
        <f>IF(AND(A34-CEILING(Assumptions!$E$29/30,1)&gt;=1,A34-CEILING(Assumptions!$E$29/30,1)&lt;=156),INDEX($E$2:$E$157,A34-CEILING(Assumptions!$E$29/30,1))*Assumptions!$B$29/100,0)</f>
      </c>
      <c r="N34" s="3">
        <f>IF(AND(A34-CEILING(Assumptions!$E$30/30,1)&gt;=1,A34-CEILING(Assumptions!$E$30/30,1)&lt;=156),INDEX($E$2:$E$157,A34-CEILING(Assumptions!$E$30/30,1))*Assumptions!$B$30/100,0)</f>
      </c>
      <c r="O34" s="3">
        <f>IF(AND(A34-CEILING(Assumptions!$E$31/30,1)&gt;=1,A34-CEILING(Assumptions!$E$31/30,1)&lt;=156),INDEX($E$2:$E$157,A34-CEILING(Assumptions!$E$31/30,1))*Assumptions!$B$31/100,0)</f>
      </c>
      <c r="P34" s="3">
        <f>K34+L34+M34+N34+O34</f>
      </c>
      <c r="Q34" s="2"/>
      <c r="R34" s="2"/>
      <c r="S34" s="2"/>
    </row>
    <row r="35" ht="19" customHeight="1" spans="1:19" x14ac:dyDescent="0.25">
      <c r="A35" s="4">
        <v>34</v>
      </c>
      <c r="B35" s="4">
        <v>3</v>
      </c>
      <c r="C35" s="3">
        <f>Assumptions!$B$5*Assumptions!$B$32*Assumptions!$B$6*D35</f>
      </c>
      <c r="D35" s="5">
        <f>IF(A35&lt;=3,Assumptions!$B$21,IF(A35&lt;=6,Assumptions!$B$22,IF(A35&lt;=12,Assumptions!$B$23,Assumptions!$B$24)))/100</f>
      </c>
      <c r="E35" s="3">
        <f>Assumptions!$B$5*Assumptions!$B$33*Assumptions!$B$6*D35</f>
      </c>
      <c r="F35" s="3">
        <f>Assumptions!$B$5*Assumptions!$B$7*Assumptions!$B$6*D35</f>
      </c>
      <c r="G35" s="3">
        <f>Assumptions!$B$8</f>
      </c>
      <c r="H35" s="3">
        <f>IF(INDEX(Assumptions!$B$35:$B$47,B35)&lt;&gt;"",INDEX(Assumptions!$B$35:$B$47,B35)/100*Assumptions!$B$2,IF(B35&lt;=Assumptions!$B$17,0,IF(B35&lt;=Assumptions!$B$17+Assumptions!$B$18,Assumptions!$B$19,Assumptions!$B$20)))/12</f>
      </c>
      <c r="I35" s="3">
        <f>IF(Assumptions!$B$12="Cash",0,IF(A35&lt;=Assumptions!$B$15,Monthly!$S$1,0))</f>
      </c>
      <c r="J35" s="3">
        <f>E35-F35-G35-H35-I35</f>
      </c>
      <c r="K35" s="3">
        <f>IF(AND(A35-CEILING(Assumptions!$E$27/30,1)&gt;=1,A35-CEILING(Assumptions!$E$27/30,1)&lt;=156),INDEX($E$2:$E$157,A35-CEILING(Assumptions!$E$27/30,1))*Assumptions!$B$27/100,0)</f>
      </c>
      <c r="L35" s="3">
        <f>IF(AND(A35-CEILING(Assumptions!$E$28/30,1)&gt;=1,A35-CEILING(Assumptions!$E$28/30,1)&lt;=156),INDEX($E$2:$E$157,A35-CEILING(Assumptions!$E$28/30,1))*Assumptions!$B$28/100,0)</f>
      </c>
      <c r="M35" s="3">
        <f>IF(AND(A35-CEILING(Assumptions!$E$29/30,1)&gt;=1,A35-CEILING(Assumptions!$E$29/30,1)&lt;=156),INDEX($E$2:$E$157,A35-CEILING(Assumptions!$E$29/30,1))*Assumptions!$B$29/100,0)</f>
      </c>
      <c r="N35" s="3">
        <f>IF(AND(A35-CEILING(Assumptions!$E$30/30,1)&gt;=1,A35-CEILING(Assumptions!$E$30/30,1)&lt;=156),INDEX($E$2:$E$157,A35-CEILING(Assumptions!$E$30/30,1))*Assumptions!$B$30/100,0)</f>
      </c>
      <c r="O35" s="3">
        <f>IF(AND(A35-CEILING(Assumptions!$E$31/30,1)&gt;=1,A35-CEILING(Assumptions!$E$31/30,1)&lt;=156),INDEX($E$2:$E$157,A35-CEILING(Assumptions!$E$31/30,1))*Assumptions!$B$31/100,0)</f>
      </c>
      <c r="P35" s="3">
        <f>K35+L35+M35+N35+O35</f>
      </c>
      <c r="Q35" s="2"/>
      <c r="R35" s="2"/>
      <c r="S35" s="2"/>
    </row>
    <row r="36" ht="19" customHeight="1" spans="1:19" x14ac:dyDescent="0.25">
      <c r="A36" s="4">
        <v>35</v>
      </c>
      <c r="B36" s="4">
        <v>3</v>
      </c>
      <c r="C36" s="3">
        <f>Assumptions!$B$5*Assumptions!$B$32*Assumptions!$B$6*D36</f>
      </c>
      <c r="D36" s="5">
        <f>IF(A36&lt;=3,Assumptions!$B$21,IF(A36&lt;=6,Assumptions!$B$22,IF(A36&lt;=12,Assumptions!$B$23,Assumptions!$B$24)))/100</f>
      </c>
      <c r="E36" s="3">
        <f>Assumptions!$B$5*Assumptions!$B$33*Assumptions!$B$6*D36</f>
      </c>
      <c r="F36" s="3">
        <f>Assumptions!$B$5*Assumptions!$B$7*Assumptions!$B$6*D36</f>
      </c>
      <c r="G36" s="3">
        <f>Assumptions!$B$8</f>
      </c>
      <c r="H36" s="3">
        <f>IF(INDEX(Assumptions!$B$35:$B$47,B36)&lt;&gt;"",INDEX(Assumptions!$B$35:$B$47,B36)/100*Assumptions!$B$2,IF(B36&lt;=Assumptions!$B$17,0,IF(B36&lt;=Assumptions!$B$17+Assumptions!$B$18,Assumptions!$B$19,Assumptions!$B$20)))/12</f>
      </c>
      <c r="I36" s="3">
        <f>IF(Assumptions!$B$12="Cash",0,IF(A36&lt;=Assumptions!$B$15,Monthly!$S$1,0))</f>
      </c>
      <c r="J36" s="3">
        <f>E36-F36-G36-H36-I36</f>
      </c>
      <c r="K36" s="3">
        <f>IF(AND(A36-CEILING(Assumptions!$E$27/30,1)&gt;=1,A36-CEILING(Assumptions!$E$27/30,1)&lt;=156),INDEX($E$2:$E$157,A36-CEILING(Assumptions!$E$27/30,1))*Assumptions!$B$27/100,0)</f>
      </c>
      <c r="L36" s="3">
        <f>IF(AND(A36-CEILING(Assumptions!$E$28/30,1)&gt;=1,A36-CEILING(Assumptions!$E$28/30,1)&lt;=156),INDEX($E$2:$E$157,A36-CEILING(Assumptions!$E$28/30,1))*Assumptions!$B$28/100,0)</f>
      </c>
      <c r="M36" s="3">
        <f>IF(AND(A36-CEILING(Assumptions!$E$29/30,1)&gt;=1,A36-CEILING(Assumptions!$E$29/30,1)&lt;=156),INDEX($E$2:$E$157,A36-CEILING(Assumptions!$E$29/30,1))*Assumptions!$B$29/100,0)</f>
      </c>
      <c r="N36" s="3">
        <f>IF(AND(A36-CEILING(Assumptions!$E$30/30,1)&gt;=1,A36-CEILING(Assumptions!$E$30/30,1)&lt;=156),INDEX($E$2:$E$157,A36-CEILING(Assumptions!$E$30/30,1))*Assumptions!$B$30/100,0)</f>
      </c>
      <c r="O36" s="3">
        <f>IF(AND(A36-CEILING(Assumptions!$E$31/30,1)&gt;=1,A36-CEILING(Assumptions!$E$31/30,1)&lt;=156),INDEX($E$2:$E$157,A36-CEILING(Assumptions!$E$31/30,1))*Assumptions!$B$31/100,0)</f>
      </c>
      <c r="P36" s="3">
        <f>K36+L36+M36+N36+O36</f>
      </c>
      <c r="Q36" s="2"/>
      <c r="R36" s="2"/>
      <c r="S36" s="2"/>
    </row>
    <row r="37" ht="19" customHeight="1" spans="1:19" x14ac:dyDescent="0.25">
      <c r="A37" s="4">
        <v>36</v>
      </c>
      <c r="B37" s="4">
        <v>3</v>
      </c>
      <c r="C37" s="3">
        <f>Assumptions!$B$5*Assumptions!$B$32*Assumptions!$B$6*D37</f>
      </c>
      <c r="D37" s="5">
        <f>IF(A37&lt;=3,Assumptions!$B$21,IF(A37&lt;=6,Assumptions!$B$22,IF(A37&lt;=12,Assumptions!$B$23,Assumptions!$B$24)))/100</f>
      </c>
      <c r="E37" s="3">
        <f>Assumptions!$B$5*Assumptions!$B$33*Assumptions!$B$6*D37</f>
      </c>
      <c r="F37" s="3">
        <f>Assumptions!$B$5*Assumptions!$B$7*Assumptions!$B$6*D37</f>
      </c>
      <c r="G37" s="3">
        <f>Assumptions!$B$8</f>
      </c>
      <c r="H37" s="3">
        <f>IF(INDEX(Assumptions!$B$35:$B$47,B37)&lt;&gt;"",INDEX(Assumptions!$B$35:$B$47,B37)/100*Assumptions!$B$2,IF(B37&lt;=Assumptions!$B$17,0,IF(B37&lt;=Assumptions!$B$17+Assumptions!$B$18,Assumptions!$B$19,Assumptions!$B$20)))/12</f>
      </c>
      <c r="I37" s="3">
        <f>IF(Assumptions!$B$12="Cash",0,IF(A37&lt;=Assumptions!$B$15,Monthly!$S$1,0))</f>
      </c>
      <c r="J37" s="3">
        <f>E37-F37-G37-H37-I37</f>
      </c>
      <c r="K37" s="3">
        <f>IF(AND(A37-CEILING(Assumptions!$E$27/30,1)&gt;=1,A37-CEILING(Assumptions!$E$27/30,1)&lt;=156),INDEX($E$2:$E$157,A37-CEILING(Assumptions!$E$27/30,1))*Assumptions!$B$27/100,0)</f>
      </c>
      <c r="L37" s="3">
        <f>IF(AND(A37-CEILING(Assumptions!$E$28/30,1)&gt;=1,A37-CEILING(Assumptions!$E$28/30,1)&lt;=156),INDEX($E$2:$E$157,A37-CEILING(Assumptions!$E$28/30,1))*Assumptions!$B$28/100,0)</f>
      </c>
      <c r="M37" s="3">
        <f>IF(AND(A37-CEILING(Assumptions!$E$29/30,1)&gt;=1,A37-CEILING(Assumptions!$E$29/30,1)&lt;=156),INDEX($E$2:$E$157,A37-CEILING(Assumptions!$E$29/30,1))*Assumptions!$B$29/100,0)</f>
      </c>
      <c r="N37" s="3">
        <f>IF(AND(A37-CEILING(Assumptions!$E$30/30,1)&gt;=1,A37-CEILING(Assumptions!$E$30/30,1)&lt;=156),INDEX($E$2:$E$157,A37-CEILING(Assumptions!$E$30/30,1))*Assumptions!$B$30/100,0)</f>
      </c>
      <c r="O37" s="3">
        <f>IF(AND(A37-CEILING(Assumptions!$E$31/30,1)&gt;=1,A37-CEILING(Assumptions!$E$31/30,1)&lt;=156),INDEX($E$2:$E$157,A37-CEILING(Assumptions!$E$31/30,1))*Assumptions!$B$31/100,0)</f>
      </c>
      <c r="P37" s="3">
        <f>K37+L37+M37+N37+O37</f>
      </c>
      <c r="Q37" s="2"/>
      <c r="R37" s="2"/>
      <c r="S37" s="2"/>
    </row>
    <row r="38" ht="19" customHeight="1" spans="1:19" x14ac:dyDescent="0.25">
      <c r="A38" s="4">
        <v>37</v>
      </c>
      <c r="B38" s="4">
        <v>4</v>
      </c>
      <c r="C38" s="3">
        <f>Assumptions!$B$5*Assumptions!$B$32*Assumptions!$B$6*D38</f>
      </c>
      <c r="D38" s="5">
        <f>IF(A38&lt;=3,Assumptions!$B$21,IF(A38&lt;=6,Assumptions!$B$22,IF(A38&lt;=12,Assumptions!$B$23,Assumptions!$B$24)))/100</f>
      </c>
      <c r="E38" s="3">
        <f>Assumptions!$B$5*Assumptions!$B$33*Assumptions!$B$6*D38</f>
      </c>
      <c r="F38" s="3">
        <f>Assumptions!$B$5*Assumptions!$B$7*Assumptions!$B$6*D38</f>
      </c>
      <c r="G38" s="3">
        <f>Assumptions!$B$8</f>
      </c>
      <c r="H38" s="3">
        <f>IF(INDEX(Assumptions!$B$35:$B$47,B38)&lt;&gt;"",INDEX(Assumptions!$B$35:$B$47,B38)/100*Assumptions!$B$2,IF(B38&lt;=Assumptions!$B$17,0,IF(B38&lt;=Assumptions!$B$17+Assumptions!$B$18,Assumptions!$B$19,Assumptions!$B$20)))/12</f>
      </c>
      <c r="I38" s="3">
        <f>IF(Assumptions!$B$12="Cash",0,IF(A38&lt;=Assumptions!$B$15,Monthly!$S$1,0))</f>
      </c>
      <c r="J38" s="3">
        <f>E38-F38-G38-H38-I38</f>
      </c>
      <c r="K38" s="3">
        <f>IF(AND(A38-CEILING(Assumptions!$E$27/30,1)&gt;=1,A38-CEILING(Assumptions!$E$27/30,1)&lt;=156),INDEX($E$2:$E$157,A38-CEILING(Assumptions!$E$27/30,1))*Assumptions!$B$27/100,0)</f>
      </c>
      <c r="L38" s="3">
        <f>IF(AND(A38-CEILING(Assumptions!$E$28/30,1)&gt;=1,A38-CEILING(Assumptions!$E$28/30,1)&lt;=156),INDEX($E$2:$E$157,A38-CEILING(Assumptions!$E$28/30,1))*Assumptions!$B$28/100,0)</f>
      </c>
      <c r="M38" s="3">
        <f>IF(AND(A38-CEILING(Assumptions!$E$29/30,1)&gt;=1,A38-CEILING(Assumptions!$E$29/30,1)&lt;=156),INDEX($E$2:$E$157,A38-CEILING(Assumptions!$E$29/30,1))*Assumptions!$B$29/100,0)</f>
      </c>
      <c r="N38" s="3">
        <f>IF(AND(A38-CEILING(Assumptions!$E$30/30,1)&gt;=1,A38-CEILING(Assumptions!$E$30/30,1)&lt;=156),INDEX($E$2:$E$157,A38-CEILING(Assumptions!$E$30/30,1))*Assumptions!$B$30/100,0)</f>
      </c>
      <c r="O38" s="3">
        <f>IF(AND(A38-CEILING(Assumptions!$E$31/30,1)&gt;=1,A38-CEILING(Assumptions!$E$31/30,1)&lt;=156),INDEX($E$2:$E$157,A38-CEILING(Assumptions!$E$31/30,1))*Assumptions!$B$31/100,0)</f>
      </c>
      <c r="P38" s="3">
        <f>K38+L38+M38+N38+O38</f>
      </c>
      <c r="Q38" s="2"/>
      <c r="R38" s="2"/>
      <c r="S38" s="2"/>
    </row>
    <row r="39" ht="19" customHeight="1" spans="1:19" x14ac:dyDescent="0.25">
      <c r="A39" s="4">
        <v>38</v>
      </c>
      <c r="B39" s="4">
        <v>4</v>
      </c>
      <c r="C39" s="3">
        <f>Assumptions!$B$5*Assumptions!$B$32*Assumptions!$B$6*D39</f>
      </c>
      <c r="D39" s="5">
        <f>IF(A39&lt;=3,Assumptions!$B$21,IF(A39&lt;=6,Assumptions!$B$22,IF(A39&lt;=12,Assumptions!$B$23,Assumptions!$B$24)))/100</f>
      </c>
      <c r="E39" s="3">
        <f>Assumptions!$B$5*Assumptions!$B$33*Assumptions!$B$6*D39</f>
      </c>
      <c r="F39" s="3">
        <f>Assumptions!$B$5*Assumptions!$B$7*Assumptions!$B$6*D39</f>
      </c>
      <c r="G39" s="3">
        <f>Assumptions!$B$8</f>
      </c>
      <c r="H39" s="3">
        <f>IF(INDEX(Assumptions!$B$35:$B$47,B39)&lt;&gt;"",INDEX(Assumptions!$B$35:$B$47,B39)/100*Assumptions!$B$2,IF(B39&lt;=Assumptions!$B$17,0,IF(B39&lt;=Assumptions!$B$17+Assumptions!$B$18,Assumptions!$B$19,Assumptions!$B$20)))/12</f>
      </c>
      <c r="I39" s="3">
        <f>IF(Assumptions!$B$12="Cash",0,IF(A39&lt;=Assumptions!$B$15,Monthly!$S$1,0))</f>
      </c>
      <c r="J39" s="3">
        <f>E39-F39-G39-H39-I39</f>
      </c>
      <c r="K39" s="3">
        <f>IF(AND(A39-CEILING(Assumptions!$E$27/30,1)&gt;=1,A39-CEILING(Assumptions!$E$27/30,1)&lt;=156),INDEX($E$2:$E$157,A39-CEILING(Assumptions!$E$27/30,1))*Assumptions!$B$27/100,0)</f>
      </c>
      <c r="L39" s="3">
        <f>IF(AND(A39-CEILING(Assumptions!$E$28/30,1)&gt;=1,A39-CEILING(Assumptions!$E$28/30,1)&lt;=156),INDEX($E$2:$E$157,A39-CEILING(Assumptions!$E$28/30,1))*Assumptions!$B$28/100,0)</f>
      </c>
      <c r="M39" s="3">
        <f>IF(AND(A39-CEILING(Assumptions!$E$29/30,1)&gt;=1,A39-CEILING(Assumptions!$E$29/30,1)&lt;=156),INDEX($E$2:$E$157,A39-CEILING(Assumptions!$E$29/30,1))*Assumptions!$B$29/100,0)</f>
      </c>
      <c r="N39" s="3">
        <f>IF(AND(A39-CEILING(Assumptions!$E$30/30,1)&gt;=1,A39-CEILING(Assumptions!$E$30/30,1)&lt;=156),INDEX($E$2:$E$157,A39-CEILING(Assumptions!$E$30/30,1))*Assumptions!$B$30/100,0)</f>
      </c>
      <c r="O39" s="3">
        <f>IF(AND(A39-CEILING(Assumptions!$E$31/30,1)&gt;=1,A39-CEILING(Assumptions!$E$31/30,1)&lt;=156),INDEX($E$2:$E$157,A39-CEILING(Assumptions!$E$31/30,1))*Assumptions!$B$31/100,0)</f>
      </c>
      <c r="P39" s="3">
        <f>K39+L39+M39+N39+O39</f>
      </c>
      <c r="Q39" s="2"/>
      <c r="R39" s="2"/>
      <c r="S39" s="2"/>
    </row>
    <row r="40" ht="19" customHeight="1" spans="1:19" x14ac:dyDescent="0.25">
      <c r="A40" s="4">
        <v>39</v>
      </c>
      <c r="B40" s="4">
        <v>4</v>
      </c>
      <c r="C40" s="3">
        <f>Assumptions!$B$5*Assumptions!$B$32*Assumptions!$B$6*D40</f>
      </c>
      <c r="D40" s="5">
        <f>IF(A40&lt;=3,Assumptions!$B$21,IF(A40&lt;=6,Assumptions!$B$22,IF(A40&lt;=12,Assumptions!$B$23,Assumptions!$B$24)))/100</f>
      </c>
      <c r="E40" s="3">
        <f>Assumptions!$B$5*Assumptions!$B$33*Assumptions!$B$6*D40</f>
      </c>
      <c r="F40" s="3">
        <f>Assumptions!$B$5*Assumptions!$B$7*Assumptions!$B$6*D40</f>
      </c>
      <c r="G40" s="3">
        <f>Assumptions!$B$8</f>
      </c>
      <c r="H40" s="3">
        <f>IF(INDEX(Assumptions!$B$35:$B$47,B40)&lt;&gt;"",INDEX(Assumptions!$B$35:$B$47,B40)/100*Assumptions!$B$2,IF(B40&lt;=Assumptions!$B$17,0,IF(B40&lt;=Assumptions!$B$17+Assumptions!$B$18,Assumptions!$B$19,Assumptions!$B$20)))/12</f>
      </c>
      <c r="I40" s="3">
        <f>IF(Assumptions!$B$12="Cash",0,IF(A40&lt;=Assumptions!$B$15,Monthly!$S$1,0))</f>
      </c>
      <c r="J40" s="3">
        <f>E40-F40-G40-H40-I40</f>
      </c>
      <c r="K40" s="3">
        <f>IF(AND(A40-CEILING(Assumptions!$E$27/30,1)&gt;=1,A40-CEILING(Assumptions!$E$27/30,1)&lt;=156),INDEX($E$2:$E$157,A40-CEILING(Assumptions!$E$27/30,1))*Assumptions!$B$27/100,0)</f>
      </c>
      <c r="L40" s="3">
        <f>IF(AND(A40-CEILING(Assumptions!$E$28/30,1)&gt;=1,A40-CEILING(Assumptions!$E$28/30,1)&lt;=156),INDEX($E$2:$E$157,A40-CEILING(Assumptions!$E$28/30,1))*Assumptions!$B$28/100,0)</f>
      </c>
      <c r="M40" s="3">
        <f>IF(AND(A40-CEILING(Assumptions!$E$29/30,1)&gt;=1,A40-CEILING(Assumptions!$E$29/30,1)&lt;=156),INDEX($E$2:$E$157,A40-CEILING(Assumptions!$E$29/30,1))*Assumptions!$B$29/100,0)</f>
      </c>
      <c r="N40" s="3">
        <f>IF(AND(A40-CEILING(Assumptions!$E$30/30,1)&gt;=1,A40-CEILING(Assumptions!$E$30/30,1)&lt;=156),INDEX($E$2:$E$157,A40-CEILING(Assumptions!$E$30/30,1))*Assumptions!$B$30/100,0)</f>
      </c>
      <c r="O40" s="3">
        <f>IF(AND(A40-CEILING(Assumptions!$E$31/30,1)&gt;=1,A40-CEILING(Assumptions!$E$31/30,1)&lt;=156),INDEX($E$2:$E$157,A40-CEILING(Assumptions!$E$31/30,1))*Assumptions!$B$31/100,0)</f>
      </c>
      <c r="P40" s="3">
        <f>K40+L40+M40+N40+O40</f>
      </c>
      <c r="Q40" s="2"/>
      <c r="R40" s="2"/>
      <c r="S40" s="2"/>
    </row>
    <row r="41" ht="19" customHeight="1" spans="1:19" x14ac:dyDescent="0.25">
      <c r="A41" s="4">
        <v>40</v>
      </c>
      <c r="B41" s="4">
        <v>4</v>
      </c>
      <c r="C41" s="3">
        <f>Assumptions!$B$5*Assumptions!$B$32*Assumptions!$B$6*D41</f>
      </c>
      <c r="D41" s="5">
        <f>IF(A41&lt;=3,Assumptions!$B$21,IF(A41&lt;=6,Assumptions!$B$22,IF(A41&lt;=12,Assumptions!$B$23,Assumptions!$B$24)))/100</f>
      </c>
      <c r="E41" s="3">
        <f>Assumptions!$B$5*Assumptions!$B$33*Assumptions!$B$6*D41</f>
      </c>
      <c r="F41" s="3">
        <f>Assumptions!$B$5*Assumptions!$B$7*Assumptions!$B$6*D41</f>
      </c>
      <c r="G41" s="3">
        <f>Assumptions!$B$8</f>
      </c>
      <c r="H41" s="3">
        <f>IF(INDEX(Assumptions!$B$35:$B$47,B41)&lt;&gt;"",INDEX(Assumptions!$B$35:$B$47,B41)/100*Assumptions!$B$2,IF(B41&lt;=Assumptions!$B$17,0,IF(B41&lt;=Assumptions!$B$17+Assumptions!$B$18,Assumptions!$B$19,Assumptions!$B$20)))/12</f>
      </c>
      <c r="I41" s="3">
        <f>IF(Assumptions!$B$12="Cash",0,IF(A41&lt;=Assumptions!$B$15,Monthly!$S$1,0))</f>
      </c>
      <c r="J41" s="3">
        <f>E41-F41-G41-H41-I41</f>
      </c>
      <c r="K41" s="3">
        <f>IF(AND(A41-CEILING(Assumptions!$E$27/30,1)&gt;=1,A41-CEILING(Assumptions!$E$27/30,1)&lt;=156),INDEX($E$2:$E$157,A41-CEILING(Assumptions!$E$27/30,1))*Assumptions!$B$27/100,0)</f>
      </c>
      <c r="L41" s="3">
        <f>IF(AND(A41-CEILING(Assumptions!$E$28/30,1)&gt;=1,A41-CEILING(Assumptions!$E$28/30,1)&lt;=156),INDEX($E$2:$E$157,A41-CEILING(Assumptions!$E$28/30,1))*Assumptions!$B$28/100,0)</f>
      </c>
      <c r="M41" s="3">
        <f>IF(AND(A41-CEILING(Assumptions!$E$29/30,1)&gt;=1,A41-CEILING(Assumptions!$E$29/30,1)&lt;=156),INDEX($E$2:$E$157,A41-CEILING(Assumptions!$E$29/30,1))*Assumptions!$B$29/100,0)</f>
      </c>
      <c r="N41" s="3">
        <f>IF(AND(A41-CEILING(Assumptions!$E$30/30,1)&gt;=1,A41-CEILING(Assumptions!$E$30/30,1)&lt;=156),INDEX($E$2:$E$157,A41-CEILING(Assumptions!$E$30/30,1))*Assumptions!$B$30/100,0)</f>
      </c>
      <c r="O41" s="3">
        <f>IF(AND(A41-CEILING(Assumptions!$E$31/30,1)&gt;=1,A41-CEILING(Assumptions!$E$31/30,1)&lt;=156),INDEX($E$2:$E$157,A41-CEILING(Assumptions!$E$31/30,1))*Assumptions!$B$31/100,0)</f>
      </c>
      <c r="P41" s="3">
        <f>K41+L41+M41+N41+O41</f>
      </c>
      <c r="Q41" s="2"/>
      <c r="R41" s="2"/>
      <c r="S41" s="2"/>
    </row>
    <row r="42" ht="19" customHeight="1" spans="1:19" x14ac:dyDescent="0.25">
      <c r="A42" s="4">
        <v>41</v>
      </c>
      <c r="B42" s="4">
        <v>4</v>
      </c>
      <c r="C42" s="3">
        <f>Assumptions!$B$5*Assumptions!$B$32*Assumptions!$B$6*D42</f>
      </c>
      <c r="D42" s="5">
        <f>IF(A42&lt;=3,Assumptions!$B$21,IF(A42&lt;=6,Assumptions!$B$22,IF(A42&lt;=12,Assumptions!$B$23,Assumptions!$B$24)))/100</f>
      </c>
      <c r="E42" s="3">
        <f>Assumptions!$B$5*Assumptions!$B$33*Assumptions!$B$6*D42</f>
      </c>
      <c r="F42" s="3">
        <f>Assumptions!$B$5*Assumptions!$B$7*Assumptions!$B$6*D42</f>
      </c>
      <c r="G42" s="3">
        <f>Assumptions!$B$8</f>
      </c>
      <c r="H42" s="3">
        <f>IF(INDEX(Assumptions!$B$35:$B$47,B42)&lt;&gt;"",INDEX(Assumptions!$B$35:$B$47,B42)/100*Assumptions!$B$2,IF(B42&lt;=Assumptions!$B$17,0,IF(B42&lt;=Assumptions!$B$17+Assumptions!$B$18,Assumptions!$B$19,Assumptions!$B$20)))/12</f>
      </c>
      <c r="I42" s="3">
        <f>IF(Assumptions!$B$12="Cash",0,IF(A42&lt;=Assumptions!$B$15,Monthly!$S$1,0))</f>
      </c>
      <c r="J42" s="3">
        <f>E42-F42-G42-H42-I42</f>
      </c>
      <c r="K42" s="3">
        <f>IF(AND(A42-CEILING(Assumptions!$E$27/30,1)&gt;=1,A42-CEILING(Assumptions!$E$27/30,1)&lt;=156),INDEX($E$2:$E$157,A42-CEILING(Assumptions!$E$27/30,1))*Assumptions!$B$27/100,0)</f>
      </c>
      <c r="L42" s="3">
        <f>IF(AND(A42-CEILING(Assumptions!$E$28/30,1)&gt;=1,A42-CEILING(Assumptions!$E$28/30,1)&lt;=156),INDEX($E$2:$E$157,A42-CEILING(Assumptions!$E$28/30,1))*Assumptions!$B$28/100,0)</f>
      </c>
      <c r="M42" s="3">
        <f>IF(AND(A42-CEILING(Assumptions!$E$29/30,1)&gt;=1,A42-CEILING(Assumptions!$E$29/30,1)&lt;=156),INDEX($E$2:$E$157,A42-CEILING(Assumptions!$E$29/30,1))*Assumptions!$B$29/100,0)</f>
      </c>
      <c r="N42" s="3">
        <f>IF(AND(A42-CEILING(Assumptions!$E$30/30,1)&gt;=1,A42-CEILING(Assumptions!$E$30/30,1)&lt;=156),INDEX($E$2:$E$157,A42-CEILING(Assumptions!$E$30/30,1))*Assumptions!$B$30/100,0)</f>
      </c>
      <c r="O42" s="3">
        <f>IF(AND(A42-CEILING(Assumptions!$E$31/30,1)&gt;=1,A42-CEILING(Assumptions!$E$31/30,1)&lt;=156),INDEX($E$2:$E$157,A42-CEILING(Assumptions!$E$31/30,1))*Assumptions!$B$31/100,0)</f>
      </c>
      <c r="P42" s="3">
        <f>K42+L42+M42+N42+O42</f>
      </c>
      <c r="Q42" s="2"/>
      <c r="R42" s="2"/>
      <c r="S42" s="2"/>
    </row>
    <row r="43" ht="19" customHeight="1" spans="1:19" x14ac:dyDescent="0.25">
      <c r="A43" s="4">
        <v>42</v>
      </c>
      <c r="B43" s="4">
        <v>4</v>
      </c>
      <c r="C43" s="3">
        <f>Assumptions!$B$5*Assumptions!$B$32*Assumptions!$B$6*D43</f>
      </c>
      <c r="D43" s="5">
        <f>IF(A43&lt;=3,Assumptions!$B$21,IF(A43&lt;=6,Assumptions!$B$22,IF(A43&lt;=12,Assumptions!$B$23,Assumptions!$B$24)))/100</f>
      </c>
      <c r="E43" s="3">
        <f>Assumptions!$B$5*Assumptions!$B$33*Assumptions!$B$6*D43</f>
      </c>
      <c r="F43" s="3">
        <f>Assumptions!$B$5*Assumptions!$B$7*Assumptions!$B$6*D43</f>
      </c>
      <c r="G43" s="3">
        <f>Assumptions!$B$8</f>
      </c>
      <c r="H43" s="3">
        <f>IF(INDEX(Assumptions!$B$35:$B$47,B43)&lt;&gt;"",INDEX(Assumptions!$B$35:$B$47,B43)/100*Assumptions!$B$2,IF(B43&lt;=Assumptions!$B$17,0,IF(B43&lt;=Assumptions!$B$17+Assumptions!$B$18,Assumptions!$B$19,Assumptions!$B$20)))/12</f>
      </c>
      <c r="I43" s="3">
        <f>IF(Assumptions!$B$12="Cash",0,IF(A43&lt;=Assumptions!$B$15,Monthly!$S$1,0))</f>
      </c>
      <c r="J43" s="3">
        <f>E43-F43-G43-H43-I43</f>
      </c>
      <c r="K43" s="3">
        <f>IF(AND(A43-CEILING(Assumptions!$E$27/30,1)&gt;=1,A43-CEILING(Assumptions!$E$27/30,1)&lt;=156),INDEX($E$2:$E$157,A43-CEILING(Assumptions!$E$27/30,1))*Assumptions!$B$27/100,0)</f>
      </c>
      <c r="L43" s="3">
        <f>IF(AND(A43-CEILING(Assumptions!$E$28/30,1)&gt;=1,A43-CEILING(Assumptions!$E$28/30,1)&lt;=156),INDEX($E$2:$E$157,A43-CEILING(Assumptions!$E$28/30,1))*Assumptions!$B$28/100,0)</f>
      </c>
      <c r="M43" s="3">
        <f>IF(AND(A43-CEILING(Assumptions!$E$29/30,1)&gt;=1,A43-CEILING(Assumptions!$E$29/30,1)&lt;=156),INDEX($E$2:$E$157,A43-CEILING(Assumptions!$E$29/30,1))*Assumptions!$B$29/100,0)</f>
      </c>
      <c r="N43" s="3">
        <f>IF(AND(A43-CEILING(Assumptions!$E$30/30,1)&gt;=1,A43-CEILING(Assumptions!$E$30/30,1)&lt;=156),INDEX($E$2:$E$157,A43-CEILING(Assumptions!$E$30/30,1))*Assumptions!$B$30/100,0)</f>
      </c>
      <c r="O43" s="3">
        <f>IF(AND(A43-CEILING(Assumptions!$E$31/30,1)&gt;=1,A43-CEILING(Assumptions!$E$31/30,1)&lt;=156),INDEX($E$2:$E$157,A43-CEILING(Assumptions!$E$31/30,1))*Assumptions!$B$31/100,0)</f>
      </c>
      <c r="P43" s="3">
        <f>K43+L43+M43+N43+O43</f>
      </c>
      <c r="Q43" s="2"/>
      <c r="R43" s="2"/>
      <c r="S43" s="2"/>
    </row>
    <row r="44" ht="19" customHeight="1" spans="1:19" x14ac:dyDescent="0.25">
      <c r="A44" s="4">
        <v>43</v>
      </c>
      <c r="B44" s="4">
        <v>4</v>
      </c>
      <c r="C44" s="3">
        <f>Assumptions!$B$5*Assumptions!$B$32*Assumptions!$B$6*D44</f>
      </c>
      <c r="D44" s="5">
        <f>IF(A44&lt;=3,Assumptions!$B$21,IF(A44&lt;=6,Assumptions!$B$22,IF(A44&lt;=12,Assumptions!$B$23,Assumptions!$B$24)))/100</f>
      </c>
      <c r="E44" s="3">
        <f>Assumptions!$B$5*Assumptions!$B$33*Assumptions!$B$6*D44</f>
      </c>
      <c r="F44" s="3">
        <f>Assumptions!$B$5*Assumptions!$B$7*Assumptions!$B$6*D44</f>
      </c>
      <c r="G44" s="3">
        <f>Assumptions!$B$8</f>
      </c>
      <c r="H44" s="3">
        <f>IF(INDEX(Assumptions!$B$35:$B$47,B44)&lt;&gt;"",INDEX(Assumptions!$B$35:$B$47,B44)/100*Assumptions!$B$2,IF(B44&lt;=Assumptions!$B$17,0,IF(B44&lt;=Assumptions!$B$17+Assumptions!$B$18,Assumptions!$B$19,Assumptions!$B$20)))/12</f>
      </c>
      <c r="I44" s="3">
        <f>IF(Assumptions!$B$12="Cash",0,IF(A44&lt;=Assumptions!$B$15,Monthly!$S$1,0))</f>
      </c>
      <c r="J44" s="3">
        <f>E44-F44-G44-H44-I44</f>
      </c>
      <c r="K44" s="3">
        <f>IF(AND(A44-CEILING(Assumptions!$E$27/30,1)&gt;=1,A44-CEILING(Assumptions!$E$27/30,1)&lt;=156),INDEX($E$2:$E$157,A44-CEILING(Assumptions!$E$27/30,1))*Assumptions!$B$27/100,0)</f>
      </c>
      <c r="L44" s="3">
        <f>IF(AND(A44-CEILING(Assumptions!$E$28/30,1)&gt;=1,A44-CEILING(Assumptions!$E$28/30,1)&lt;=156),INDEX($E$2:$E$157,A44-CEILING(Assumptions!$E$28/30,1))*Assumptions!$B$28/100,0)</f>
      </c>
      <c r="M44" s="3">
        <f>IF(AND(A44-CEILING(Assumptions!$E$29/30,1)&gt;=1,A44-CEILING(Assumptions!$E$29/30,1)&lt;=156),INDEX($E$2:$E$157,A44-CEILING(Assumptions!$E$29/30,1))*Assumptions!$B$29/100,0)</f>
      </c>
      <c r="N44" s="3">
        <f>IF(AND(A44-CEILING(Assumptions!$E$30/30,1)&gt;=1,A44-CEILING(Assumptions!$E$30/30,1)&lt;=156),INDEX($E$2:$E$157,A44-CEILING(Assumptions!$E$30/30,1))*Assumptions!$B$30/100,0)</f>
      </c>
      <c r="O44" s="3">
        <f>IF(AND(A44-CEILING(Assumptions!$E$31/30,1)&gt;=1,A44-CEILING(Assumptions!$E$31/30,1)&lt;=156),INDEX($E$2:$E$157,A44-CEILING(Assumptions!$E$31/30,1))*Assumptions!$B$31/100,0)</f>
      </c>
      <c r="P44" s="3">
        <f>K44+L44+M44+N44+O44</f>
      </c>
      <c r="Q44" s="2"/>
      <c r="R44" s="2"/>
      <c r="S44" s="2"/>
    </row>
    <row r="45" ht="19" customHeight="1" spans="1:19" x14ac:dyDescent="0.25">
      <c r="A45" s="4">
        <v>44</v>
      </c>
      <c r="B45" s="4">
        <v>4</v>
      </c>
      <c r="C45" s="3">
        <f>Assumptions!$B$5*Assumptions!$B$32*Assumptions!$B$6*D45</f>
      </c>
      <c r="D45" s="5">
        <f>IF(A45&lt;=3,Assumptions!$B$21,IF(A45&lt;=6,Assumptions!$B$22,IF(A45&lt;=12,Assumptions!$B$23,Assumptions!$B$24)))/100</f>
      </c>
      <c r="E45" s="3">
        <f>Assumptions!$B$5*Assumptions!$B$33*Assumptions!$B$6*D45</f>
      </c>
      <c r="F45" s="3">
        <f>Assumptions!$B$5*Assumptions!$B$7*Assumptions!$B$6*D45</f>
      </c>
      <c r="G45" s="3">
        <f>Assumptions!$B$8</f>
      </c>
      <c r="H45" s="3">
        <f>IF(INDEX(Assumptions!$B$35:$B$47,B45)&lt;&gt;"",INDEX(Assumptions!$B$35:$B$47,B45)/100*Assumptions!$B$2,IF(B45&lt;=Assumptions!$B$17,0,IF(B45&lt;=Assumptions!$B$17+Assumptions!$B$18,Assumptions!$B$19,Assumptions!$B$20)))/12</f>
      </c>
      <c r="I45" s="3">
        <f>IF(Assumptions!$B$12="Cash",0,IF(A45&lt;=Assumptions!$B$15,Monthly!$S$1,0))</f>
      </c>
      <c r="J45" s="3">
        <f>E45-F45-G45-H45-I45</f>
      </c>
      <c r="K45" s="3">
        <f>IF(AND(A45-CEILING(Assumptions!$E$27/30,1)&gt;=1,A45-CEILING(Assumptions!$E$27/30,1)&lt;=156),INDEX($E$2:$E$157,A45-CEILING(Assumptions!$E$27/30,1))*Assumptions!$B$27/100,0)</f>
      </c>
      <c r="L45" s="3">
        <f>IF(AND(A45-CEILING(Assumptions!$E$28/30,1)&gt;=1,A45-CEILING(Assumptions!$E$28/30,1)&lt;=156),INDEX($E$2:$E$157,A45-CEILING(Assumptions!$E$28/30,1))*Assumptions!$B$28/100,0)</f>
      </c>
      <c r="M45" s="3">
        <f>IF(AND(A45-CEILING(Assumptions!$E$29/30,1)&gt;=1,A45-CEILING(Assumptions!$E$29/30,1)&lt;=156),INDEX($E$2:$E$157,A45-CEILING(Assumptions!$E$29/30,1))*Assumptions!$B$29/100,0)</f>
      </c>
      <c r="N45" s="3">
        <f>IF(AND(A45-CEILING(Assumptions!$E$30/30,1)&gt;=1,A45-CEILING(Assumptions!$E$30/30,1)&lt;=156),INDEX($E$2:$E$157,A45-CEILING(Assumptions!$E$30/30,1))*Assumptions!$B$30/100,0)</f>
      </c>
      <c r="O45" s="3">
        <f>IF(AND(A45-CEILING(Assumptions!$E$31/30,1)&gt;=1,A45-CEILING(Assumptions!$E$31/30,1)&lt;=156),INDEX($E$2:$E$157,A45-CEILING(Assumptions!$E$31/30,1))*Assumptions!$B$31/100,0)</f>
      </c>
      <c r="P45" s="3">
        <f>K45+L45+M45+N45+O45</f>
      </c>
      <c r="Q45" s="2"/>
      <c r="R45" s="2"/>
      <c r="S45" s="2"/>
    </row>
    <row r="46" ht="19" customHeight="1" spans="1:19" x14ac:dyDescent="0.25">
      <c r="A46" s="4">
        <v>45</v>
      </c>
      <c r="B46" s="4">
        <v>4</v>
      </c>
      <c r="C46" s="3">
        <f>Assumptions!$B$5*Assumptions!$B$32*Assumptions!$B$6*D46</f>
      </c>
      <c r="D46" s="5">
        <f>IF(A46&lt;=3,Assumptions!$B$21,IF(A46&lt;=6,Assumptions!$B$22,IF(A46&lt;=12,Assumptions!$B$23,Assumptions!$B$24)))/100</f>
      </c>
      <c r="E46" s="3">
        <f>Assumptions!$B$5*Assumptions!$B$33*Assumptions!$B$6*D46</f>
      </c>
      <c r="F46" s="3">
        <f>Assumptions!$B$5*Assumptions!$B$7*Assumptions!$B$6*D46</f>
      </c>
      <c r="G46" s="3">
        <f>Assumptions!$B$8</f>
      </c>
      <c r="H46" s="3">
        <f>IF(INDEX(Assumptions!$B$35:$B$47,B46)&lt;&gt;"",INDEX(Assumptions!$B$35:$B$47,B46)/100*Assumptions!$B$2,IF(B46&lt;=Assumptions!$B$17,0,IF(B46&lt;=Assumptions!$B$17+Assumptions!$B$18,Assumptions!$B$19,Assumptions!$B$20)))/12</f>
      </c>
      <c r="I46" s="3">
        <f>IF(Assumptions!$B$12="Cash",0,IF(A46&lt;=Assumptions!$B$15,Monthly!$S$1,0))</f>
      </c>
      <c r="J46" s="3">
        <f>E46-F46-G46-H46-I46</f>
      </c>
      <c r="K46" s="3">
        <f>IF(AND(A46-CEILING(Assumptions!$E$27/30,1)&gt;=1,A46-CEILING(Assumptions!$E$27/30,1)&lt;=156),INDEX($E$2:$E$157,A46-CEILING(Assumptions!$E$27/30,1))*Assumptions!$B$27/100,0)</f>
      </c>
      <c r="L46" s="3">
        <f>IF(AND(A46-CEILING(Assumptions!$E$28/30,1)&gt;=1,A46-CEILING(Assumptions!$E$28/30,1)&lt;=156),INDEX($E$2:$E$157,A46-CEILING(Assumptions!$E$28/30,1))*Assumptions!$B$28/100,0)</f>
      </c>
      <c r="M46" s="3">
        <f>IF(AND(A46-CEILING(Assumptions!$E$29/30,1)&gt;=1,A46-CEILING(Assumptions!$E$29/30,1)&lt;=156),INDEX($E$2:$E$157,A46-CEILING(Assumptions!$E$29/30,1))*Assumptions!$B$29/100,0)</f>
      </c>
      <c r="N46" s="3">
        <f>IF(AND(A46-CEILING(Assumptions!$E$30/30,1)&gt;=1,A46-CEILING(Assumptions!$E$30/30,1)&lt;=156),INDEX($E$2:$E$157,A46-CEILING(Assumptions!$E$30/30,1))*Assumptions!$B$30/100,0)</f>
      </c>
      <c r="O46" s="3">
        <f>IF(AND(A46-CEILING(Assumptions!$E$31/30,1)&gt;=1,A46-CEILING(Assumptions!$E$31/30,1)&lt;=156),INDEX($E$2:$E$157,A46-CEILING(Assumptions!$E$31/30,1))*Assumptions!$B$31/100,0)</f>
      </c>
      <c r="P46" s="3">
        <f>K46+L46+M46+N46+O46</f>
      </c>
      <c r="Q46" s="2"/>
      <c r="R46" s="2"/>
      <c r="S46" s="2"/>
    </row>
    <row r="47" ht="19" customHeight="1" spans="1:19" x14ac:dyDescent="0.25">
      <c r="A47" s="4">
        <v>46</v>
      </c>
      <c r="B47" s="4">
        <v>4</v>
      </c>
      <c r="C47" s="3">
        <f>Assumptions!$B$5*Assumptions!$B$32*Assumptions!$B$6*D47</f>
      </c>
      <c r="D47" s="5">
        <f>IF(A47&lt;=3,Assumptions!$B$21,IF(A47&lt;=6,Assumptions!$B$22,IF(A47&lt;=12,Assumptions!$B$23,Assumptions!$B$24)))/100</f>
      </c>
      <c r="E47" s="3">
        <f>Assumptions!$B$5*Assumptions!$B$33*Assumptions!$B$6*D47</f>
      </c>
      <c r="F47" s="3">
        <f>Assumptions!$B$5*Assumptions!$B$7*Assumptions!$B$6*D47</f>
      </c>
      <c r="G47" s="3">
        <f>Assumptions!$B$8</f>
      </c>
      <c r="H47" s="3">
        <f>IF(INDEX(Assumptions!$B$35:$B$47,B47)&lt;&gt;"",INDEX(Assumptions!$B$35:$B$47,B47)/100*Assumptions!$B$2,IF(B47&lt;=Assumptions!$B$17,0,IF(B47&lt;=Assumptions!$B$17+Assumptions!$B$18,Assumptions!$B$19,Assumptions!$B$20)))/12</f>
      </c>
      <c r="I47" s="3">
        <f>IF(Assumptions!$B$12="Cash",0,IF(A47&lt;=Assumptions!$B$15,Monthly!$S$1,0))</f>
      </c>
      <c r="J47" s="3">
        <f>E47-F47-G47-H47-I47</f>
      </c>
      <c r="K47" s="3">
        <f>IF(AND(A47-CEILING(Assumptions!$E$27/30,1)&gt;=1,A47-CEILING(Assumptions!$E$27/30,1)&lt;=156),INDEX($E$2:$E$157,A47-CEILING(Assumptions!$E$27/30,1))*Assumptions!$B$27/100,0)</f>
      </c>
      <c r="L47" s="3">
        <f>IF(AND(A47-CEILING(Assumptions!$E$28/30,1)&gt;=1,A47-CEILING(Assumptions!$E$28/30,1)&lt;=156),INDEX($E$2:$E$157,A47-CEILING(Assumptions!$E$28/30,1))*Assumptions!$B$28/100,0)</f>
      </c>
      <c r="M47" s="3">
        <f>IF(AND(A47-CEILING(Assumptions!$E$29/30,1)&gt;=1,A47-CEILING(Assumptions!$E$29/30,1)&lt;=156),INDEX($E$2:$E$157,A47-CEILING(Assumptions!$E$29/30,1))*Assumptions!$B$29/100,0)</f>
      </c>
      <c r="N47" s="3">
        <f>IF(AND(A47-CEILING(Assumptions!$E$30/30,1)&gt;=1,A47-CEILING(Assumptions!$E$30/30,1)&lt;=156),INDEX($E$2:$E$157,A47-CEILING(Assumptions!$E$30/30,1))*Assumptions!$B$30/100,0)</f>
      </c>
      <c r="O47" s="3">
        <f>IF(AND(A47-CEILING(Assumptions!$E$31/30,1)&gt;=1,A47-CEILING(Assumptions!$E$31/30,1)&lt;=156),INDEX($E$2:$E$157,A47-CEILING(Assumptions!$E$31/30,1))*Assumptions!$B$31/100,0)</f>
      </c>
      <c r="P47" s="3">
        <f>K47+L47+M47+N47+O47</f>
      </c>
      <c r="Q47" s="2"/>
      <c r="R47" s="2"/>
      <c r="S47" s="2"/>
    </row>
    <row r="48" ht="19" customHeight="1" spans="1:19" x14ac:dyDescent="0.25">
      <c r="A48" s="4">
        <v>47</v>
      </c>
      <c r="B48" s="4">
        <v>4</v>
      </c>
      <c r="C48" s="3">
        <f>Assumptions!$B$5*Assumptions!$B$32*Assumptions!$B$6*D48</f>
      </c>
      <c r="D48" s="5">
        <f>IF(A48&lt;=3,Assumptions!$B$21,IF(A48&lt;=6,Assumptions!$B$22,IF(A48&lt;=12,Assumptions!$B$23,Assumptions!$B$24)))/100</f>
      </c>
      <c r="E48" s="3">
        <f>Assumptions!$B$5*Assumptions!$B$33*Assumptions!$B$6*D48</f>
      </c>
      <c r="F48" s="3">
        <f>Assumptions!$B$5*Assumptions!$B$7*Assumptions!$B$6*D48</f>
      </c>
      <c r="G48" s="3">
        <f>Assumptions!$B$8</f>
      </c>
      <c r="H48" s="3">
        <f>IF(INDEX(Assumptions!$B$35:$B$47,B48)&lt;&gt;"",INDEX(Assumptions!$B$35:$B$47,B48)/100*Assumptions!$B$2,IF(B48&lt;=Assumptions!$B$17,0,IF(B48&lt;=Assumptions!$B$17+Assumptions!$B$18,Assumptions!$B$19,Assumptions!$B$20)))/12</f>
      </c>
      <c r="I48" s="3">
        <f>IF(Assumptions!$B$12="Cash",0,IF(A48&lt;=Assumptions!$B$15,Monthly!$S$1,0))</f>
      </c>
      <c r="J48" s="3">
        <f>E48-F48-G48-H48-I48</f>
      </c>
      <c r="K48" s="3">
        <f>IF(AND(A48-CEILING(Assumptions!$E$27/30,1)&gt;=1,A48-CEILING(Assumptions!$E$27/30,1)&lt;=156),INDEX($E$2:$E$157,A48-CEILING(Assumptions!$E$27/30,1))*Assumptions!$B$27/100,0)</f>
      </c>
      <c r="L48" s="3">
        <f>IF(AND(A48-CEILING(Assumptions!$E$28/30,1)&gt;=1,A48-CEILING(Assumptions!$E$28/30,1)&lt;=156),INDEX($E$2:$E$157,A48-CEILING(Assumptions!$E$28/30,1))*Assumptions!$B$28/100,0)</f>
      </c>
      <c r="M48" s="3">
        <f>IF(AND(A48-CEILING(Assumptions!$E$29/30,1)&gt;=1,A48-CEILING(Assumptions!$E$29/30,1)&lt;=156),INDEX($E$2:$E$157,A48-CEILING(Assumptions!$E$29/30,1))*Assumptions!$B$29/100,0)</f>
      </c>
      <c r="N48" s="3">
        <f>IF(AND(A48-CEILING(Assumptions!$E$30/30,1)&gt;=1,A48-CEILING(Assumptions!$E$30/30,1)&lt;=156),INDEX($E$2:$E$157,A48-CEILING(Assumptions!$E$30/30,1))*Assumptions!$B$30/100,0)</f>
      </c>
      <c r="O48" s="3">
        <f>IF(AND(A48-CEILING(Assumptions!$E$31/30,1)&gt;=1,A48-CEILING(Assumptions!$E$31/30,1)&lt;=156),INDEX($E$2:$E$157,A48-CEILING(Assumptions!$E$31/30,1))*Assumptions!$B$31/100,0)</f>
      </c>
      <c r="P48" s="3">
        <f>K48+L48+M48+N48+O48</f>
      </c>
      <c r="Q48" s="2"/>
      <c r="R48" s="2"/>
      <c r="S48" s="2"/>
    </row>
    <row r="49" ht="19" customHeight="1" spans="1:19" x14ac:dyDescent="0.25">
      <c r="A49" s="4">
        <v>48</v>
      </c>
      <c r="B49" s="4">
        <v>4</v>
      </c>
      <c r="C49" s="3">
        <f>Assumptions!$B$5*Assumptions!$B$32*Assumptions!$B$6*D49</f>
      </c>
      <c r="D49" s="5">
        <f>IF(A49&lt;=3,Assumptions!$B$21,IF(A49&lt;=6,Assumptions!$B$22,IF(A49&lt;=12,Assumptions!$B$23,Assumptions!$B$24)))/100</f>
      </c>
      <c r="E49" s="3">
        <f>Assumptions!$B$5*Assumptions!$B$33*Assumptions!$B$6*D49</f>
      </c>
      <c r="F49" s="3">
        <f>Assumptions!$B$5*Assumptions!$B$7*Assumptions!$B$6*D49</f>
      </c>
      <c r="G49" s="3">
        <f>Assumptions!$B$8</f>
      </c>
      <c r="H49" s="3">
        <f>IF(INDEX(Assumptions!$B$35:$B$47,B49)&lt;&gt;"",INDEX(Assumptions!$B$35:$B$47,B49)/100*Assumptions!$B$2,IF(B49&lt;=Assumptions!$B$17,0,IF(B49&lt;=Assumptions!$B$17+Assumptions!$B$18,Assumptions!$B$19,Assumptions!$B$20)))/12</f>
      </c>
      <c r="I49" s="3">
        <f>IF(Assumptions!$B$12="Cash",0,IF(A49&lt;=Assumptions!$B$15,Monthly!$S$1,0))</f>
      </c>
      <c r="J49" s="3">
        <f>E49-F49-G49-H49-I49</f>
      </c>
      <c r="K49" s="3">
        <f>IF(AND(A49-CEILING(Assumptions!$E$27/30,1)&gt;=1,A49-CEILING(Assumptions!$E$27/30,1)&lt;=156),INDEX($E$2:$E$157,A49-CEILING(Assumptions!$E$27/30,1))*Assumptions!$B$27/100,0)</f>
      </c>
      <c r="L49" s="3">
        <f>IF(AND(A49-CEILING(Assumptions!$E$28/30,1)&gt;=1,A49-CEILING(Assumptions!$E$28/30,1)&lt;=156),INDEX($E$2:$E$157,A49-CEILING(Assumptions!$E$28/30,1))*Assumptions!$B$28/100,0)</f>
      </c>
      <c r="M49" s="3">
        <f>IF(AND(A49-CEILING(Assumptions!$E$29/30,1)&gt;=1,A49-CEILING(Assumptions!$E$29/30,1)&lt;=156),INDEX($E$2:$E$157,A49-CEILING(Assumptions!$E$29/30,1))*Assumptions!$B$29/100,0)</f>
      </c>
      <c r="N49" s="3">
        <f>IF(AND(A49-CEILING(Assumptions!$E$30/30,1)&gt;=1,A49-CEILING(Assumptions!$E$30/30,1)&lt;=156),INDEX($E$2:$E$157,A49-CEILING(Assumptions!$E$30/30,1))*Assumptions!$B$30/100,0)</f>
      </c>
      <c r="O49" s="3">
        <f>IF(AND(A49-CEILING(Assumptions!$E$31/30,1)&gt;=1,A49-CEILING(Assumptions!$E$31/30,1)&lt;=156),INDEX($E$2:$E$157,A49-CEILING(Assumptions!$E$31/30,1))*Assumptions!$B$31/100,0)</f>
      </c>
      <c r="P49" s="3">
        <f>K49+L49+M49+N49+O49</f>
      </c>
      <c r="Q49" s="2"/>
      <c r="R49" s="2"/>
      <c r="S49" s="2"/>
    </row>
    <row r="50" ht="19" customHeight="1" spans="1:19" x14ac:dyDescent="0.25">
      <c r="A50" s="4">
        <v>49</v>
      </c>
      <c r="B50" s="4">
        <v>5</v>
      </c>
      <c r="C50" s="3">
        <f>Assumptions!$B$5*Assumptions!$B$32*Assumptions!$B$6*D50</f>
      </c>
      <c r="D50" s="5">
        <f>IF(A50&lt;=3,Assumptions!$B$21,IF(A50&lt;=6,Assumptions!$B$22,IF(A50&lt;=12,Assumptions!$B$23,Assumptions!$B$24)))/100</f>
      </c>
      <c r="E50" s="3">
        <f>Assumptions!$B$5*Assumptions!$B$33*Assumptions!$B$6*D50</f>
      </c>
      <c r="F50" s="3">
        <f>Assumptions!$B$5*Assumptions!$B$7*Assumptions!$B$6*D50</f>
      </c>
      <c r="G50" s="3">
        <f>Assumptions!$B$8</f>
      </c>
      <c r="H50" s="3">
        <f>IF(INDEX(Assumptions!$B$35:$B$47,B50)&lt;&gt;"",INDEX(Assumptions!$B$35:$B$47,B50)/100*Assumptions!$B$2,IF(B50&lt;=Assumptions!$B$17,0,IF(B50&lt;=Assumptions!$B$17+Assumptions!$B$18,Assumptions!$B$19,Assumptions!$B$20)))/12</f>
      </c>
      <c r="I50" s="3">
        <f>IF(Assumptions!$B$12="Cash",0,IF(A50&lt;=Assumptions!$B$15,Monthly!$S$1,0))</f>
      </c>
      <c r="J50" s="3">
        <f>E50-F50-G50-H50-I50</f>
      </c>
      <c r="K50" s="3">
        <f>IF(AND(A50-CEILING(Assumptions!$E$27/30,1)&gt;=1,A50-CEILING(Assumptions!$E$27/30,1)&lt;=156),INDEX($E$2:$E$157,A50-CEILING(Assumptions!$E$27/30,1))*Assumptions!$B$27/100,0)</f>
      </c>
      <c r="L50" s="3">
        <f>IF(AND(A50-CEILING(Assumptions!$E$28/30,1)&gt;=1,A50-CEILING(Assumptions!$E$28/30,1)&lt;=156),INDEX($E$2:$E$157,A50-CEILING(Assumptions!$E$28/30,1))*Assumptions!$B$28/100,0)</f>
      </c>
      <c r="M50" s="3">
        <f>IF(AND(A50-CEILING(Assumptions!$E$29/30,1)&gt;=1,A50-CEILING(Assumptions!$E$29/30,1)&lt;=156),INDEX($E$2:$E$157,A50-CEILING(Assumptions!$E$29/30,1))*Assumptions!$B$29/100,0)</f>
      </c>
      <c r="N50" s="3">
        <f>IF(AND(A50-CEILING(Assumptions!$E$30/30,1)&gt;=1,A50-CEILING(Assumptions!$E$30/30,1)&lt;=156),INDEX($E$2:$E$157,A50-CEILING(Assumptions!$E$30/30,1))*Assumptions!$B$30/100,0)</f>
      </c>
      <c r="O50" s="3">
        <f>IF(AND(A50-CEILING(Assumptions!$E$31/30,1)&gt;=1,A50-CEILING(Assumptions!$E$31/30,1)&lt;=156),INDEX($E$2:$E$157,A50-CEILING(Assumptions!$E$31/30,1))*Assumptions!$B$31/100,0)</f>
      </c>
      <c r="P50" s="3">
        <f>K50+L50+M50+N50+O50</f>
      </c>
      <c r="Q50" s="2"/>
      <c r="R50" s="2"/>
      <c r="S50" s="2"/>
    </row>
    <row r="51" ht="19" customHeight="1" spans="1:19" x14ac:dyDescent="0.25">
      <c r="A51" s="4">
        <v>50</v>
      </c>
      <c r="B51" s="4">
        <v>5</v>
      </c>
      <c r="C51" s="3">
        <f>Assumptions!$B$5*Assumptions!$B$32*Assumptions!$B$6*D51</f>
      </c>
      <c r="D51" s="5">
        <f>IF(A51&lt;=3,Assumptions!$B$21,IF(A51&lt;=6,Assumptions!$B$22,IF(A51&lt;=12,Assumptions!$B$23,Assumptions!$B$24)))/100</f>
      </c>
      <c r="E51" s="3">
        <f>Assumptions!$B$5*Assumptions!$B$33*Assumptions!$B$6*D51</f>
      </c>
      <c r="F51" s="3">
        <f>Assumptions!$B$5*Assumptions!$B$7*Assumptions!$B$6*D51</f>
      </c>
      <c r="G51" s="3">
        <f>Assumptions!$B$8</f>
      </c>
      <c r="H51" s="3">
        <f>IF(INDEX(Assumptions!$B$35:$B$47,B51)&lt;&gt;"",INDEX(Assumptions!$B$35:$B$47,B51)/100*Assumptions!$B$2,IF(B51&lt;=Assumptions!$B$17,0,IF(B51&lt;=Assumptions!$B$17+Assumptions!$B$18,Assumptions!$B$19,Assumptions!$B$20)))/12</f>
      </c>
      <c r="I51" s="3">
        <f>IF(Assumptions!$B$12="Cash",0,IF(A51&lt;=Assumptions!$B$15,Monthly!$S$1,0))</f>
      </c>
      <c r="J51" s="3">
        <f>E51-F51-G51-H51-I51</f>
      </c>
      <c r="K51" s="3">
        <f>IF(AND(A51-CEILING(Assumptions!$E$27/30,1)&gt;=1,A51-CEILING(Assumptions!$E$27/30,1)&lt;=156),INDEX($E$2:$E$157,A51-CEILING(Assumptions!$E$27/30,1))*Assumptions!$B$27/100,0)</f>
      </c>
      <c r="L51" s="3">
        <f>IF(AND(A51-CEILING(Assumptions!$E$28/30,1)&gt;=1,A51-CEILING(Assumptions!$E$28/30,1)&lt;=156),INDEX($E$2:$E$157,A51-CEILING(Assumptions!$E$28/30,1))*Assumptions!$B$28/100,0)</f>
      </c>
      <c r="M51" s="3">
        <f>IF(AND(A51-CEILING(Assumptions!$E$29/30,1)&gt;=1,A51-CEILING(Assumptions!$E$29/30,1)&lt;=156),INDEX($E$2:$E$157,A51-CEILING(Assumptions!$E$29/30,1))*Assumptions!$B$29/100,0)</f>
      </c>
      <c r="N51" s="3">
        <f>IF(AND(A51-CEILING(Assumptions!$E$30/30,1)&gt;=1,A51-CEILING(Assumptions!$E$30/30,1)&lt;=156),INDEX($E$2:$E$157,A51-CEILING(Assumptions!$E$30/30,1))*Assumptions!$B$30/100,0)</f>
      </c>
      <c r="O51" s="3">
        <f>IF(AND(A51-CEILING(Assumptions!$E$31/30,1)&gt;=1,A51-CEILING(Assumptions!$E$31/30,1)&lt;=156),INDEX($E$2:$E$157,A51-CEILING(Assumptions!$E$31/30,1))*Assumptions!$B$31/100,0)</f>
      </c>
      <c r="P51" s="3">
        <f>K51+L51+M51+N51+O51</f>
      </c>
      <c r="Q51" s="2"/>
      <c r="R51" s="2"/>
      <c r="S51" s="2"/>
    </row>
    <row r="52" ht="19" customHeight="1" spans="1:19" x14ac:dyDescent="0.25">
      <c r="A52" s="4">
        <v>51</v>
      </c>
      <c r="B52" s="4">
        <v>5</v>
      </c>
      <c r="C52" s="3">
        <f>Assumptions!$B$5*Assumptions!$B$32*Assumptions!$B$6*D52</f>
      </c>
      <c r="D52" s="5">
        <f>IF(A52&lt;=3,Assumptions!$B$21,IF(A52&lt;=6,Assumptions!$B$22,IF(A52&lt;=12,Assumptions!$B$23,Assumptions!$B$24)))/100</f>
      </c>
      <c r="E52" s="3">
        <f>Assumptions!$B$5*Assumptions!$B$33*Assumptions!$B$6*D52</f>
      </c>
      <c r="F52" s="3">
        <f>Assumptions!$B$5*Assumptions!$B$7*Assumptions!$B$6*D52</f>
      </c>
      <c r="G52" s="3">
        <f>Assumptions!$B$8</f>
      </c>
      <c r="H52" s="3">
        <f>IF(INDEX(Assumptions!$B$35:$B$47,B52)&lt;&gt;"",INDEX(Assumptions!$B$35:$B$47,B52)/100*Assumptions!$B$2,IF(B52&lt;=Assumptions!$B$17,0,IF(B52&lt;=Assumptions!$B$17+Assumptions!$B$18,Assumptions!$B$19,Assumptions!$B$20)))/12</f>
      </c>
      <c r="I52" s="3">
        <f>IF(Assumptions!$B$12="Cash",0,IF(A52&lt;=Assumptions!$B$15,Monthly!$S$1,0))</f>
      </c>
      <c r="J52" s="3">
        <f>E52-F52-G52-H52-I52</f>
      </c>
      <c r="K52" s="3">
        <f>IF(AND(A52-CEILING(Assumptions!$E$27/30,1)&gt;=1,A52-CEILING(Assumptions!$E$27/30,1)&lt;=156),INDEX($E$2:$E$157,A52-CEILING(Assumptions!$E$27/30,1))*Assumptions!$B$27/100,0)</f>
      </c>
      <c r="L52" s="3">
        <f>IF(AND(A52-CEILING(Assumptions!$E$28/30,1)&gt;=1,A52-CEILING(Assumptions!$E$28/30,1)&lt;=156),INDEX($E$2:$E$157,A52-CEILING(Assumptions!$E$28/30,1))*Assumptions!$B$28/100,0)</f>
      </c>
      <c r="M52" s="3">
        <f>IF(AND(A52-CEILING(Assumptions!$E$29/30,1)&gt;=1,A52-CEILING(Assumptions!$E$29/30,1)&lt;=156),INDEX($E$2:$E$157,A52-CEILING(Assumptions!$E$29/30,1))*Assumptions!$B$29/100,0)</f>
      </c>
      <c r="N52" s="3">
        <f>IF(AND(A52-CEILING(Assumptions!$E$30/30,1)&gt;=1,A52-CEILING(Assumptions!$E$30/30,1)&lt;=156),INDEX($E$2:$E$157,A52-CEILING(Assumptions!$E$30/30,1))*Assumptions!$B$30/100,0)</f>
      </c>
      <c r="O52" s="3">
        <f>IF(AND(A52-CEILING(Assumptions!$E$31/30,1)&gt;=1,A52-CEILING(Assumptions!$E$31/30,1)&lt;=156),INDEX($E$2:$E$157,A52-CEILING(Assumptions!$E$31/30,1))*Assumptions!$B$31/100,0)</f>
      </c>
      <c r="P52" s="3">
        <f>K52+L52+M52+N52+O52</f>
      </c>
      <c r="Q52" s="2"/>
      <c r="R52" s="2"/>
      <c r="S52" s="2"/>
    </row>
    <row r="53" ht="19" customHeight="1" spans="1:19" x14ac:dyDescent="0.25">
      <c r="A53" s="4">
        <v>52</v>
      </c>
      <c r="B53" s="4">
        <v>5</v>
      </c>
      <c r="C53" s="3">
        <f>Assumptions!$B$5*Assumptions!$B$32*Assumptions!$B$6*D53</f>
      </c>
      <c r="D53" s="5">
        <f>IF(A53&lt;=3,Assumptions!$B$21,IF(A53&lt;=6,Assumptions!$B$22,IF(A53&lt;=12,Assumptions!$B$23,Assumptions!$B$24)))/100</f>
      </c>
      <c r="E53" s="3">
        <f>Assumptions!$B$5*Assumptions!$B$33*Assumptions!$B$6*D53</f>
      </c>
      <c r="F53" s="3">
        <f>Assumptions!$B$5*Assumptions!$B$7*Assumptions!$B$6*D53</f>
      </c>
      <c r="G53" s="3">
        <f>Assumptions!$B$8</f>
      </c>
      <c r="H53" s="3">
        <f>IF(INDEX(Assumptions!$B$35:$B$47,B53)&lt;&gt;"",INDEX(Assumptions!$B$35:$B$47,B53)/100*Assumptions!$B$2,IF(B53&lt;=Assumptions!$B$17,0,IF(B53&lt;=Assumptions!$B$17+Assumptions!$B$18,Assumptions!$B$19,Assumptions!$B$20)))/12</f>
      </c>
      <c r="I53" s="3">
        <f>IF(Assumptions!$B$12="Cash",0,IF(A53&lt;=Assumptions!$B$15,Monthly!$S$1,0))</f>
      </c>
      <c r="J53" s="3">
        <f>E53-F53-G53-H53-I53</f>
      </c>
      <c r="K53" s="3">
        <f>IF(AND(A53-CEILING(Assumptions!$E$27/30,1)&gt;=1,A53-CEILING(Assumptions!$E$27/30,1)&lt;=156),INDEX($E$2:$E$157,A53-CEILING(Assumptions!$E$27/30,1))*Assumptions!$B$27/100,0)</f>
      </c>
      <c r="L53" s="3">
        <f>IF(AND(A53-CEILING(Assumptions!$E$28/30,1)&gt;=1,A53-CEILING(Assumptions!$E$28/30,1)&lt;=156),INDEX($E$2:$E$157,A53-CEILING(Assumptions!$E$28/30,1))*Assumptions!$B$28/100,0)</f>
      </c>
      <c r="M53" s="3">
        <f>IF(AND(A53-CEILING(Assumptions!$E$29/30,1)&gt;=1,A53-CEILING(Assumptions!$E$29/30,1)&lt;=156),INDEX($E$2:$E$157,A53-CEILING(Assumptions!$E$29/30,1))*Assumptions!$B$29/100,0)</f>
      </c>
      <c r="N53" s="3">
        <f>IF(AND(A53-CEILING(Assumptions!$E$30/30,1)&gt;=1,A53-CEILING(Assumptions!$E$30/30,1)&lt;=156),INDEX($E$2:$E$157,A53-CEILING(Assumptions!$E$30/30,1))*Assumptions!$B$30/100,0)</f>
      </c>
      <c r="O53" s="3">
        <f>IF(AND(A53-CEILING(Assumptions!$E$31/30,1)&gt;=1,A53-CEILING(Assumptions!$E$31/30,1)&lt;=156),INDEX($E$2:$E$157,A53-CEILING(Assumptions!$E$31/30,1))*Assumptions!$B$31/100,0)</f>
      </c>
      <c r="P53" s="3">
        <f>K53+L53+M53+N53+O53</f>
      </c>
      <c r="Q53" s="2"/>
      <c r="R53" s="2"/>
      <c r="S53" s="2"/>
    </row>
    <row r="54" ht="19" customHeight="1" spans="1:19" x14ac:dyDescent="0.25">
      <c r="A54" s="4">
        <v>53</v>
      </c>
      <c r="B54" s="4">
        <v>5</v>
      </c>
      <c r="C54" s="3">
        <f>Assumptions!$B$5*Assumptions!$B$32*Assumptions!$B$6*D54</f>
      </c>
      <c r="D54" s="5">
        <f>IF(A54&lt;=3,Assumptions!$B$21,IF(A54&lt;=6,Assumptions!$B$22,IF(A54&lt;=12,Assumptions!$B$23,Assumptions!$B$24)))/100</f>
      </c>
      <c r="E54" s="3">
        <f>Assumptions!$B$5*Assumptions!$B$33*Assumptions!$B$6*D54</f>
      </c>
      <c r="F54" s="3">
        <f>Assumptions!$B$5*Assumptions!$B$7*Assumptions!$B$6*D54</f>
      </c>
      <c r="G54" s="3">
        <f>Assumptions!$B$8</f>
      </c>
      <c r="H54" s="3">
        <f>IF(INDEX(Assumptions!$B$35:$B$47,B54)&lt;&gt;"",INDEX(Assumptions!$B$35:$B$47,B54)/100*Assumptions!$B$2,IF(B54&lt;=Assumptions!$B$17,0,IF(B54&lt;=Assumptions!$B$17+Assumptions!$B$18,Assumptions!$B$19,Assumptions!$B$20)))/12</f>
      </c>
      <c r="I54" s="3">
        <f>IF(Assumptions!$B$12="Cash",0,IF(A54&lt;=Assumptions!$B$15,Monthly!$S$1,0))</f>
      </c>
      <c r="J54" s="3">
        <f>E54-F54-G54-H54-I54</f>
      </c>
      <c r="K54" s="3">
        <f>IF(AND(A54-CEILING(Assumptions!$E$27/30,1)&gt;=1,A54-CEILING(Assumptions!$E$27/30,1)&lt;=156),INDEX($E$2:$E$157,A54-CEILING(Assumptions!$E$27/30,1))*Assumptions!$B$27/100,0)</f>
      </c>
      <c r="L54" s="3">
        <f>IF(AND(A54-CEILING(Assumptions!$E$28/30,1)&gt;=1,A54-CEILING(Assumptions!$E$28/30,1)&lt;=156),INDEX($E$2:$E$157,A54-CEILING(Assumptions!$E$28/30,1))*Assumptions!$B$28/100,0)</f>
      </c>
      <c r="M54" s="3">
        <f>IF(AND(A54-CEILING(Assumptions!$E$29/30,1)&gt;=1,A54-CEILING(Assumptions!$E$29/30,1)&lt;=156),INDEX($E$2:$E$157,A54-CEILING(Assumptions!$E$29/30,1))*Assumptions!$B$29/100,0)</f>
      </c>
      <c r="N54" s="3">
        <f>IF(AND(A54-CEILING(Assumptions!$E$30/30,1)&gt;=1,A54-CEILING(Assumptions!$E$30/30,1)&lt;=156),INDEX($E$2:$E$157,A54-CEILING(Assumptions!$E$30/30,1))*Assumptions!$B$30/100,0)</f>
      </c>
      <c r="O54" s="3">
        <f>IF(AND(A54-CEILING(Assumptions!$E$31/30,1)&gt;=1,A54-CEILING(Assumptions!$E$31/30,1)&lt;=156),INDEX($E$2:$E$157,A54-CEILING(Assumptions!$E$31/30,1))*Assumptions!$B$31/100,0)</f>
      </c>
      <c r="P54" s="3">
        <f>K54+L54+M54+N54+O54</f>
      </c>
      <c r="Q54" s="2"/>
      <c r="R54" s="2"/>
      <c r="S54" s="2"/>
    </row>
    <row r="55" ht="19" customHeight="1" spans="1:19" x14ac:dyDescent="0.25">
      <c r="A55" s="4">
        <v>54</v>
      </c>
      <c r="B55" s="4">
        <v>5</v>
      </c>
      <c r="C55" s="3">
        <f>Assumptions!$B$5*Assumptions!$B$32*Assumptions!$B$6*D55</f>
      </c>
      <c r="D55" s="5">
        <f>IF(A55&lt;=3,Assumptions!$B$21,IF(A55&lt;=6,Assumptions!$B$22,IF(A55&lt;=12,Assumptions!$B$23,Assumptions!$B$24)))/100</f>
      </c>
      <c r="E55" s="3">
        <f>Assumptions!$B$5*Assumptions!$B$33*Assumptions!$B$6*D55</f>
      </c>
      <c r="F55" s="3">
        <f>Assumptions!$B$5*Assumptions!$B$7*Assumptions!$B$6*D55</f>
      </c>
      <c r="G55" s="3">
        <f>Assumptions!$B$8</f>
      </c>
      <c r="H55" s="3">
        <f>IF(INDEX(Assumptions!$B$35:$B$47,B55)&lt;&gt;"",INDEX(Assumptions!$B$35:$B$47,B55)/100*Assumptions!$B$2,IF(B55&lt;=Assumptions!$B$17,0,IF(B55&lt;=Assumptions!$B$17+Assumptions!$B$18,Assumptions!$B$19,Assumptions!$B$20)))/12</f>
      </c>
      <c r="I55" s="3">
        <f>IF(Assumptions!$B$12="Cash",0,IF(A55&lt;=Assumptions!$B$15,Monthly!$S$1,0))</f>
      </c>
      <c r="J55" s="3">
        <f>E55-F55-G55-H55-I55</f>
      </c>
      <c r="K55" s="3">
        <f>IF(AND(A55-CEILING(Assumptions!$E$27/30,1)&gt;=1,A55-CEILING(Assumptions!$E$27/30,1)&lt;=156),INDEX($E$2:$E$157,A55-CEILING(Assumptions!$E$27/30,1))*Assumptions!$B$27/100,0)</f>
      </c>
      <c r="L55" s="3">
        <f>IF(AND(A55-CEILING(Assumptions!$E$28/30,1)&gt;=1,A55-CEILING(Assumptions!$E$28/30,1)&lt;=156),INDEX($E$2:$E$157,A55-CEILING(Assumptions!$E$28/30,1))*Assumptions!$B$28/100,0)</f>
      </c>
      <c r="M55" s="3">
        <f>IF(AND(A55-CEILING(Assumptions!$E$29/30,1)&gt;=1,A55-CEILING(Assumptions!$E$29/30,1)&lt;=156),INDEX($E$2:$E$157,A55-CEILING(Assumptions!$E$29/30,1))*Assumptions!$B$29/100,0)</f>
      </c>
      <c r="N55" s="3">
        <f>IF(AND(A55-CEILING(Assumptions!$E$30/30,1)&gt;=1,A55-CEILING(Assumptions!$E$30/30,1)&lt;=156),INDEX($E$2:$E$157,A55-CEILING(Assumptions!$E$30/30,1))*Assumptions!$B$30/100,0)</f>
      </c>
      <c r="O55" s="3">
        <f>IF(AND(A55-CEILING(Assumptions!$E$31/30,1)&gt;=1,A55-CEILING(Assumptions!$E$31/30,1)&lt;=156),INDEX($E$2:$E$157,A55-CEILING(Assumptions!$E$31/30,1))*Assumptions!$B$31/100,0)</f>
      </c>
      <c r="P55" s="3">
        <f>K55+L55+M55+N55+O55</f>
      </c>
      <c r="Q55" s="2"/>
      <c r="R55" s="2"/>
      <c r="S55" s="2"/>
    </row>
    <row r="56" ht="19" customHeight="1" spans="1:19" x14ac:dyDescent="0.25">
      <c r="A56" s="4">
        <v>55</v>
      </c>
      <c r="B56" s="4">
        <v>5</v>
      </c>
      <c r="C56" s="3">
        <f>Assumptions!$B$5*Assumptions!$B$32*Assumptions!$B$6*D56</f>
      </c>
      <c r="D56" s="5">
        <f>IF(A56&lt;=3,Assumptions!$B$21,IF(A56&lt;=6,Assumptions!$B$22,IF(A56&lt;=12,Assumptions!$B$23,Assumptions!$B$24)))/100</f>
      </c>
      <c r="E56" s="3">
        <f>Assumptions!$B$5*Assumptions!$B$33*Assumptions!$B$6*D56</f>
      </c>
      <c r="F56" s="3">
        <f>Assumptions!$B$5*Assumptions!$B$7*Assumptions!$B$6*D56</f>
      </c>
      <c r="G56" s="3">
        <f>Assumptions!$B$8</f>
      </c>
      <c r="H56" s="3">
        <f>IF(INDEX(Assumptions!$B$35:$B$47,B56)&lt;&gt;"",INDEX(Assumptions!$B$35:$B$47,B56)/100*Assumptions!$B$2,IF(B56&lt;=Assumptions!$B$17,0,IF(B56&lt;=Assumptions!$B$17+Assumptions!$B$18,Assumptions!$B$19,Assumptions!$B$20)))/12</f>
      </c>
      <c r="I56" s="3">
        <f>IF(Assumptions!$B$12="Cash",0,IF(A56&lt;=Assumptions!$B$15,Monthly!$S$1,0))</f>
      </c>
      <c r="J56" s="3">
        <f>E56-F56-G56-H56-I56</f>
      </c>
      <c r="K56" s="3">
        <f>IF(AND(A56-CEILING(Assumptions!$E$27/30,1)&gt;=1,A56-CEILING(Assumptions!$E$27/30,1)&lt;=156),INDEX($E$2:$E$157,A56-CEILING(Assumptions!$E$27/30,1))*Assumptions!$B$27/100,0)</f>
      </c>
      <c r="L56" s="3">
        <f>IF(AND(A56-CEILING(Assumptions!$E$28/30,1)&gt;=1,A56-CEILING(Assumptions!$E$28/30,1)&lt;=156),INDEX($E$2:$E$157,A56-CEILING(Assumptions!$E$28/30,1))*Assumptions!$B$28/100,0)</f>
      </c>
      <c r="M56" s="3">
        <f>IF(AND(A56-CEILING(Assumptions!$E$29/30,1)&gt;=1,A56-CEILING(Assumptions!$E$29/30,1)&lt;=156),INDEX($E$2:$E$157,A56-CEILING(Assumptions!$E$29/30,1))*Assumptions!$B$29/100,0)</f>
      </c>
      <c r="N56" s="3">
        <f>IF(AND(A56-CEILING(Assumptions!$E$30/30,1)&gt;=1,A56-CEILING(Assumptions!$E$30/30,1)&lt;=156),INDEX($E$2:$E$157,A56-CEILING(Assumptions!$E$30/30,1))*Assumptions!$B$30/100,0)</f>
      </c>
      <c r="O56" s="3">
        <f>IF(AND(A56-CEILING(Assumptions!$E$31/30,1)&gt;=1,A56-CEILING(Assumptions!$E$31/30,1)&lt;=156),INDEX($E$2:$E$157,A56-CEILING(Assumptions!$E$31/30,1))*Assumptions!$B$31/100,0)</f>
      </c>
      <c r="P56" s="3">
        <f>K56+L56+M56+N56+O56</f>
      </c>
      <c r="Q56" s="2"/>
      <c r="R56" s="2"/>
      <c r="S56" s="2"/>
    </row>
    <row r="57" ht="19" customHeight="1" spans="1:19" x14ac:dyDescent="0.25">
      <c r="A57" s="4">
        <v>56</v>
      </c>
      <c r="B57" s="4">
        <v>5</v>
      </c>
      <c r="C57" s="3">
        <f>Assumptions!$B$5*Assumptions!$B$32*Assumptions!$B$6*D57</f>
      </c>
      <c r="D57" s="5">
        <f>IF(A57&lt;=3,Assumptions!$B$21,IF(A57&lt;=6,Assumptions!$B$22,IF(A57&lt;=12,Assumptions!$B$23,Assumptions!$B$24)))/100</f>
      </c>
      <c r="E57" s="3">
        <f>Assumptions!$B$5*Assumptions!$B$33*Assumptions!$B$6*D57</f>
      </c>
      <c r="F57" s="3">
        <f>Assumptions!$B$5*Assumptions!$B$7*Assumptions!$B$6*D57</f>
      </c>
      <c r="G57" s="3">
        <f>Assumptions!$B$8</f>
      </c>
      <c r="H57" s="3">
        <f>IF(INDEX(Assumptions!$B$35:$B$47,B57)&lt;&gt;"",INDEX(Assumptions!$B$35:$B$47,B57)/100*Assumptions!$B$2,IF(B57&lt;=Assumptions!$B$17,0,IF(B57&lt;=Assumptions!$B$17+Assumptions!$B$18,Assumptions!$B$19,Assumptions!$B$20)))/12</f>
      </c>
      <c r="I57" s="3">
        <f>IF(Assumptions!$B$12="Cash",0,IF(A57&lt;=Assumptions!$B$15,Monthly!$S$1,0))</f>
      </c>
      <c r="J57" s="3">
        <f>E57-F57-G57-H57-I57</f>
      </c>
      <c r="K57" s="3">
        <f>IF(AND(A57-CEILING(Assumptions!$E$27/30,1)&gt;=1,A57-CEILING(Assumptions!$E$27/30,1)&lt;=156),INDEX($E$2:$E$157,A57-CEILING(Assumptions!$E$27/30,1))*Assumptions!$B$27/100,0)</f>
      </c>
      <c r="L57" s="3">
        <f>IF(AND(A57-CEILING(Assumptions!$E$28/30,1)&gt;=1,A57-CEILING(Assumptions!$E$28/30,1)&lt;=156),INDEX($E$2:$E$157,A57-CEILING(Assumptions!$E$28/30,1))*Assumptions!$B$28/100,0)</f>
      </c>
      <c r="M57" s="3">
        <f>IF(AND(A57-CEILING(Assumptions!$E$29/30,1)&gt;=1,A57-CEILING(Assumptions!$E$29/30,1)&lt;=156),INDEX($E$2:$E$157,A57-CEILING(Assumptions!$E$29/30,1))*Assumptions!$B$29/100,0)</f>
      </c>
      <c r="N57" s="3">
        <f>IF(AND(A57-CEILING(Assumptions!$E$30/30,1)&gt;=1,A57-CEILING(Assumptions!$E$30/30,1)&lt;=156),INDEX($E$2:$E$157,A57-CEILING(Assumptions!$E$30/30,1))*Assumptions!$B$30/100,0)</f>
      </c>
      <c r="O57" s="3">
        <f>IF(AND(A57-CEILING(Assumptions!$E$31/30,1)&gt;=1,A57-CEILING(Assumptions!$E$31/30,1)&lt;=156),INDEX($E$2:$E$157,A57-CEILING(Assumptions!$E$31/30,1))*Assumptions!$B$31/100,0)</f>
      </c>
      <c r="P57" s="3">
        <f>K57+L57+M57+N57+O57</f>
      </c>
      <c r="Q57" s="2"/>
      <c r="R57" s="2"/>
      <c r="S57" s="2"/>
    </row>
    <row r="58" ht="19" customHeight="1" spans="1:19" x14ac:dyDescent="0.25">
      <c r="A58" s="4">
        <v>57</v>
      </c>
      <c r="B58" s="4">
        <v>5</v>
      </c>
      <c r="C58" s="3">
        <f>Assumptions!$B$5*Assumptions!$B$32*Assumptions!$B$6*D58</f>
      </c>
      <c r="D58" s="5">
        <f>IF(A58&lt;=3,Assumptions!$B$21,IF(A58&lt;=6,Assumptions!$B$22,IF(A58&lt;=12,Assumptions!$B$23,Assumptions!$B$24)))/100</f>
      </c>
      <c r="E58" s="3">
        <f>Assumptions!$B$5*Assumptions!$B$33*Assumptions!$B$6*D58</f>
      </c>
      <c r="F58" s="3">
        <f>Assumptions!$B$5*Assumptions!$B$7*Assumptions!$B$6*D58</f>
      </c>
      <c r="G58" s="3">
        <f>Assumptions!$B$8</f>
      </c>
      <c r="H58" s="3">
        <f>IF(INDEX(Assumptions!$B$35:$B$47,B58)&lt;&gt;"",INDEX(Assumptions!$B$35:$B$47,B58)/100*Assumptions!$B$2,IF(B58&lt;=Assumptions!$B$17,0,IF(B58&lt;=Assumptions!$B$17+Assumptions!$B$18,Assumptions!$B$19,Assumptions!$B$20)))/12</f>
      </c>
      <c r="I58" s="3">
        <f>IF(Assumptions!$B$12="Cash",0,IF(A58&lt;=Assumptions!$B$15,Monthly!$S$1,0))</f>
      </c>
      <c r="J58" s="3">
        <f>E58-F58-G58-H58-I58</f>
      </c>
      <c r="K58" s="3">
        <f>IF(AND(A58-CEILING(Assumptions!$E$27/30,1)&gt;=1,A58-CEILING(Assumptions!$E$27/30,1)&lt;=156),INDEX($E$2:$E$157,A58-CEILING(Assumptions!$E$27/30,1))*Assumptions!$B$27/100,0)</f>
      </c>
      <c r="L58" s="3">
        <f>IF(AND(A58-CEILING(Assumptions!$E$28/30,1)&gt;=1,A58-CEILING(Assumptions!$E$28/30,1)&lt;=156),INDEX($E$2:$E$157,A58-CEILING(Assumptions!$E$28/30,1))*Assumptions!$B$28/100,0)</f>
      </c>
      <c r="M58" s="3">
        <f>IF(AND(A58-CEILING(Assumptions!$E$29/30,1)&gt;=1,A58-CEILING(Assumptions!$E$29/30,1)&lt;=156),INDEX($E$2:$E$157,A58-CEILING(Assumptions!$E$29/30,1))*Assumptions!$B$29/100,0)</f>
      </c>
      <c r="N58" s="3">
        <f>IF(AND(A58-CEILING(Assumptions!$E$30/30,1)&gt;=1,A58-CEILING(Assumptions!$E$30/30,1)&lt;=156),INDEX($E$2:$E$157,A58-CEILING(Assumptions!$E$30/30,1))*Assumptions!$B$30/100,0)</f>
      </c>
      <c r="O58" s="3">
        <f>IF(AND(A58-CEILING(Assumptions!$E$31/30,1)&gt;=1,A58-CEILING(Assumptions!$E$31/30,1)&lt;=156),INDEX($E$2:$E$157,A58-CEILING(Assumptions!$E$31/30,1))*Assumptions!$B$31/100,0)</f>
      </c>
      <c r="P58" s="3">
        <f>K58+L58+M58+N58+O58</f>
      </c>
      <c r="Q58" s="2"/>
      <c r="R58" s="2"/>
      <c r="S58" s="2"/>
    </row>
    <row r="59" ht="19" customHeight="1" spans="1:19" x14ac:dyDescent="0.25">
      <c r="A59" s="4">
        <v>58</v>
      </c>
      <c r="B59" s="4">
        <v>5</v>
      </c>
      <c r="C59" s="3">
        <f>Assumptions!$B$5*Assumptions!$B$32*Assumptions!$B$6*D59</f>
      </c>
      <c r="D59" s="5">
        <f>IF(A59&lt;=3,Assumptions!$B$21,IF(A59&lt;=6,Assumptions!$B$22,IF(A59&lt;=12,Assumptions!$B$23,Assumptions!$B$24)))/100</f>
      </c>
      <c r="E59" s="3">
        <f>Assumptions!$B$5*Assumptions!$B$33*Assumptions!$B$6*D59</f>
      </c>
      <c r="F59" s="3">
        <f>Assumptions!$B$5*Assumptions!$B$7*Assumptions!$B$6*D59</f>
      </c>
      <c r="G59" s="3">
        <f>Assumptions!$B$8</f>
      </c>
      <c r="H59" s="3">
        <f>IF(INDEX(Assumptions!$B$35:$B$47,B59)&lt;&gt;"",INDEX(Assumptions!$B$35:$B$47,B59)/100*Assumptions!$B$2,IF(B59&lt;=Assumptions!$B$17,0,IF(B59&lt;=Assumptions!$B$17+Assumptions!$B$18,Assumptions!$B$19,Assumptions!$B$20)))/12</f>
      </c>
      <c r="I59" s="3">
        <f>IF(Assumptions!$B$12="Cash",0,IF(A59&lt;=Assumptions!$B$15,Monthly!$S$1,0))</f>
      </c>
      <c r="J59" s="3">
        <f>E59-F59-G59-H59-I59</f>
      </c>
      <c r="K59" s="3">
        <f>IF(AND(A59-CEILING(Assumptions!$E$27/30,1)&gt;=1,A59-CEILING(Assumptions!$E$27/30,1)&lt;=156),INDEX($E$2:$E$157,A59-CEILING(Assumptions!$E$27/30,1))*Assumptions!$B$27/100,0)</f>
      </c>
      <c r="L59" s="3">
        <f>IF(AND(A59-CEILING(Assumptions!$E$28/30,1)&gt;=1,A59-CEILING(Assumptions!$E$28/30,1)&lt;=156),INDEX($E$2:$E$157,A59-CEILING(Assumptions!$E$28/30,1))*Assumptions!$B$28/100,0)</f>
      </c>
      <c r="M59" s="3">
        <f>IF(AND(A59-CEILING(Assumptions!$E$29/30,1)&gt;=1,A59-CEILING(Assumptions!$E$29/30,1)&lt;=156),INDEX($E$2:$E$157,A59-CEILING(Assumptions!$E$29/30,1))*Assumptions!$B$29/100,0)</f>
      </c>
      <c r="N59" s="3">
        <f>IF(AND(A59-CEILING(Assumptions!$E$30/30,1)&gt;=1,A59-CEILING(Assumptions!$E$30/30,1)&lt;=156),INDEX($E$2:$E$157,A59-CEILING(Assumptions!$E$30/30,1))*Assumptions!$B$30/100,0)</f>
      </c>
      <c r="O59" s="3">
        <f>IF(AND(A59-CEILING(Assumptions!$E$31/30,1)&gt;=1,A59-CEILING(Assumptions!$E$31/30,1)&lt;=156),INDEX($E$2:$E$157,A59-CEILING(Assumptions!$E$31/30,1))*Assumptions!$B$31/100,0)</f>
      </c>
      <c r="P59" s="3">
        <f>K59+L59+M59+N59+O59</f>
      </c>
      <c r="Q59" s="2"/>
      <c r="R59" s="2"/>
      <c r="S59" s="2"/>
    </row>
    <row r="60" ht="19" customHeight="1" spans="1:19" x14ac:dyDescent="0.25">
      <c r="A60" s="4">
        <v>59</v>
      </c>
      <c r="B60" s="4">
        <v>5</v>
      </c>
      <c r="C60" s="3">
        <f>Assumptions!$B$5*Assumptions!$B$32*Assumptions!$B$6*D60</f>
      </c>
      <c r="D60" s="5">
        <f>IF(A60&lt;=3,Assumptions!$B$21,IF(A60&lt;=6,Assumptions!$B$22,IF(A60&lt;=12,Assumptions!$B$23,Assumptions!$B$24)))/100</f>
      </c>
      <c r="E60" s="3">
        <f>Assumptions!$B$5*Assumptions!$B$33*Assumptions!$B$6*D60</f>
      </c>
      <c r="F60" s="3">
        <f>Assumptions!$B$5*Assumptions!$B$7*Assumptions!$B$6*D60</f>
      </c>
      <c r="G60" s="3">
        <f>Assumptions!$B$8</f>
      </c>
      <c r="H60" s="3">
        <f>IF(INDEX(Assumptions!$B$35:$B$47,B60)&lt;&gt;"",INDEX(Assumptions!$B$35:$B$47,B60)/100*Assumptions!$B$2,IF(B60&lt;=Assumptions!$B$17,0,IF(B60&lt;=Assumptions!$B$17+Assumptions!$B$18,Assumptions!$B$19,Assumptions!$B$20)))/12</f>
      </c>
      <c r="I60" s="3">
        <f>IF(Assumptions!$B$12="Cash",0,IF(A60&lt;=Assumptions!$B$15,Monthly!$S$1,0))</f>
      </c>
      <c r="J60" s="3">
        <f>E60-F60-G60-H60-I60</f>
      </c>
      <c r="K60" s="3">
        <f>IF(AND(A60-CEILING(Assumptions!$E$27/30,1)&gt;=1,A60-CEILING(Assumptions!$E$27/30,1)&lt;=156),INDEX($E$2:$E$157,A60-CEILING(Assumptions!$E$27/30,1))*Assumptions!$B$27/100,0)</f>
      </c>
      <c r="L60" s="3">
        <f>IF(AND(A60-CEILING(Assumptions!$E$28/30,1)&gt;=1,A60-CEILING(Assumptions!$E$28/30,1)&lt;=156),INDEX($E$2:$E$157,A60-CEILING(Assumptions!$E$28/30,1))*Assumptions!$B$28/100,0)</f>
      </c>
      <c r="M60" s="3">
        <f>IF(AND(A60-CEILING(Assumptions!$E$29/30,1)&gt;=1,A60-CEILING(Assumptions!$E$29/30,1)&lt;=156),INDEX($E$2:$E$157,A60-CEILING(Assumptions!$E$29/30,1))*Assumptions!$B$29/100,0)</f>
      </c>
      <c r="N60" s="3">
        <f>IF(AND(A60-CEILING(Assumptions!$E$30/30,1)&gt;=1,A60-CEILING(Assumptions!$E$30/30,1)&lt;=156),INDEX($E$2:$E$157,A60-CEILING(Assumptions!$E$30/30,1))*Assumptions!$B$30/100,0)</f>
      </c>
      <c r="O60" s="3">
        <f>IF(AND(A60-CEILING(Assumptions!$E$31/30,1)&gt;=1,A60-CEILING(Assumptions!$E$31/30,1)&lt;=156),INDEX($E$2:$E$157,A60-CEILING(Assumptions!$E$31/30,1))*Assumptions!$B$31/100,0)</f>
      </c>
      <c r="P60" s="3">
        <f>K60+L60+M60+N60+O60</f>
      </c>
      <c r="Q60" s="2"/>
      <c r="R60" s="2"/>
      <c r="S60" s="2"/>
    </row>
    <row r="61" ht="19" customHeight="1" spans="1:19" x14ac:dyDescent="0.25">
      <c r="A61" s="4">
        <v>60</v>
      </c>
      <c r="B61" s="4">
        <v>5</v>
      </c>
      <c r="C61" s="3">
        <f>Assumptions!$B$5*Assumptions!$B$32*Assumptions!$B$6*D61</f>
      </c>
      <c r="D61" s="5">
        <f>IF(A61&lt;=3,Assumptions!$B$21,IF(A61&lt;=6,Assumptions!$B$22,IF(A61&lt;=12,Assumptions!$B$23,Assumptions!$B$24)))/100</f>
      </c>
      <c r="E61" s="3">
        <f>Assumptions!$B$5*Assumptions!$B$33*Assumptions!$B$6*D61</f>
      </c>
      <c r="F61" s="3">
        <f>Assumptions!$B$5*Assumptions!$B$7*Assumptions!$B$6*D61</f>
      </c>
      <c r="G61" s="3">
        <f>Assumptions!$B$8</f>
      </c>
      <c r="H61" s="3">
        <f>IF(INDEX(Assumptions!$B$35:$B$47,B61)&lt;&gt;"",INDEX(Assumptions!$B$35:$B$47,B61)/100*Assumptions!$B$2,IF(B61&lt;=Assumptions!$B$17,0,IF(B61&lt;=Assumptions!$B$17+Assumptions!$B$18,Assumptions!$B$19,Assumptions!$B$20)))/12</f>
      </c>
      <c r="I61" s="3">
        <f>IF(Assumptions!$B$12="Cash",0,IF(A61&lt;=Assumptions!$B$15,Monthly!$S$1,0))</f>
      </c>
      <c r="J61" s="3">
        <f>E61-F61-G61-H61-I61</f>
      </c>
      <c r="K61" s="3">
        <f>IF(AND(A61-CEILING(Assumptions!$E$27/30,1)&gt;=1,A61-CEILING(Assumptions!$E$27/30,1)&lt;=156),INDEX($E$2:$E$157,A61-CEILING(Assumptions!$E$27/30,1))*Assumptions!$B$27/100,0)</f>
      </c>
      <c r="L61" s="3">
        <f>IF(AND(A61-CEILING(Assumptions!$E$28/30,1)&gt;=1,A61-CEILING(Assumptions!$E$28/30,1)&lt;=156),INDEX($E$2:$E$157,A61-CEILING(Assumptions!$E$28/30,1))*Assumptions!$B$28/100,0)</f>
      </c>
      <c r="M61" s="3">
        <f>IF(AND(A61-CEILING(Assumptions!$E$29/30,1)&gt;=1,A61-CEILING(Assumptions!$E$29/30,1)&lt;=156),INDEX($E$2:$E$157,A61-CEILING(Assumptions!$E$29/30,1))*Assumptions!$B$29/100,0)</f>
      </c>
      <c r="N61" s="3">
        <f>IF(AND(A61-CEILING(Assumptions!$E$30/30,1)&gt;=1,A61-CEILING(Assumptions!$E$30/30,1)&lt;=156),INDEX($E$2:$E$157,A61-CEILING(Assumptions!$E$30/30,1))*Assumptions!$B$30/100,0)</f>
      </c>
      <c r="O61" s="3">
        <f>IF(AND(A61-CEILING(Assumptions!$E$31/30,1)&gt;=1,A61-CEILING(Assumptions!$E$31/30,1)&lt;=156),INDEX($E$2:$E$157,A61-CEILING(Assumptions!$E$31/30,1))*Assumptions!$B$31/100,0)</f>
      </c>
      <c r="P61" s="3">
        <f>K61+L61+M61+N61+O61</f>
      </c>
      <c r="Q61" s="2"/>
      <c r="R61" s="2"/>
      <c r="S61" s="2"/>
    </row>
    <row r="62" ht="19" customHeight="1" spans="1:19" x14ac:dyDescent="0.25">
      <c r="A62" s="4">
        <v>61</v>
      </c>
      <c r="B62" s="4">
        <v>6</v>
      </c>
      <c r="C62" s="3">
        <f>Assumptions!$B$5*Assumptions!$B$32*Assumptions!$B$6*D62</f>
      </c>
      <c r="D62" s="5">
        <f>IF(A62&lt;=3,Assumptions!$B$21,IF(A62&lt;=6,Assumptions!$B$22,IF(A62&lt;=12,Assumptions!$B$23,Assumptions!$B$24)))/100</f>
      </c>
      <c r="E62" s="3">
        <f>Assumptions!$B$5*Assumptions!$B$33*Assumptions!$B$6*D62</f>
      </c>
      <c r="F62" s="3">
        <f>Assumptions!$B$5*Assumptions!$B$7*Assumptions!$B$6*D62</f>
      </c>
      <c r="G62" s="3">
        <f>Assumptions!$B$8</f>
      </c>
      <c r="H62" s="3">
        <f>IF(INDEX(Assumptions!$B$35:$B$47,B62)&lt;&gt;"",INDEX(Assumptions!$B$35:$B$47,B62)/100*Assumptions!$B$2,IF(B62&lt;=Assumptions!$B$17,0,IF(B62&lt;=Assumptions!$B$17+Assumptions!$B$18,Assumptions!$B$19,Assumptions!$B$20)))/12</f>
      </c>
      <c r="I62" s="3">
        <f>IF(Assumptions!$B$12="Cash",0,IF(A62&lt;=Assumptions!$B$15,Monthly!$S$1,0))</f>
      </c>
      <c r="J62" s="3">
        <f>E62-F62-G62-H62-I62</f>
      </c>
      <c r="K62" s="3">
        <f>IF(AND(A62-CEILING(Assumptions!$E$27/30,1)&gt;=1,A62-CEILING(Assumptions!$E$27/30,1)&lt;=156),INDEX($E$2:$E$157,A62-CEILING(Assumptions!$E$27/30,1))*Assumptions!$B$27/100,0)</f>
      </c>
      <c r="L62" s="3">
        <f>IF(AND(A62-CEILING(Assumptions!$E$28/30,1)&gt;=1,A62-CEILING(Assumptions!$E$28/30,1)&lt;=156),INDEX($E$2:$E$157,A62-CEILING(Assumptions!$E$28/30,1))*Assumptions!$B$28/100,0)</f>
      </c>
      <c r="M62" s="3">
        <f>IF(AND(A62-CEILING(Assumptions!$E$29/30,1)&gt;=1,A62-CEILING(Assumptions!$E$29/30,1)&lt;=156),INDEX($E$2:$E$157,A62-CEILING(Assumptions!$E$29/30,1))*Assumptions!$B$29/100,0)</f>
      </c>
      <c r="N62" s="3">
        <f>IF(AND(A62-CEILING(Assumptions!$E$30/30,1)&gt;=1,A62-CEILING(Assumptions!$E$30/30,1)&lt;=156),INDEX($E$2:$E$157,A62-CEILING(Assumptions!$E$30/30,1))*Assumptions!$B$30/100,0)</f>
      </c>
      <c r="O62" s="3">
        <f>IF(AND(A62-CEILING(Assumptions!$E$31/30,1)&gt;=1,A62-CEILING(Assumptions!$E$31/30,1)&lt;=156),INDEX($E$2:$E$157,A62-CEILING(Assumptions!$E$31/30,1))*Assumptions!$B$31/100,0)</f>
      </c>
      <c r="P62" s="3">
        <f>K62+L62+M62+N62+O62</f>
      </c>
      <c r="Q62" s="2"/>
      <c r="R62" s="2"/>
      <c r="S62" s="2"/>
    </row>
    <row r="63" ht="19" customHeight="1" spans="1:19" x14ac:dyDescent="0.25">
      <c r="A63" s="4">
        <v>62</v>
      </c>
      <c r="B63" s="4">
        <v>6</v>
      </c>
      <c r="C63" s="3">
        <f>Assumptions!$B$5*Assumptions!$B$32*Assumptions!$B$6*D63</f>
      </c>
      <c r="D63" s="5">
        <f>IF(A63&lt;=3,Assumptions!$B$21,IF(A63&lt;=6,Assumptions!$B$22,IF(A63&lt;=12,Assumptions!$B$23,Assumptions!$B$24)))/100</f>
      </c>
      <c r="E63" s="3">
        <f>Assumptions!$B$5*Assumptions!$B$33*Assumptions!$B$6*D63</f>
      </c>
      <c r="F63" s="3">
        <f>Assumptions!$B$5*Assumptions!$B$7*Assumptions!$B$6*D63</f>
      </c>
      <c r="G63" s="3">
        <f>Assumptions!$B$8</f>
      </c>
      <c r="H63" s="3">
        <f>IF(INDEX(Assumptions!$B$35:$B$47,B63)&lt;&gt;"",INDEX(Assumptions!$B$35:$B$47,B63)/100*Assumptions!$B$2,IF(B63&lt;=Assumptions!$B$17,0,IF(B63&lt;=Assumptions!$B$17+Assumptions!$B$18,Assumptions!$B$19,Assumptions!$B$20)))/12</f>
      </c>
      <c r="I63" s="3">
        <f>IF(Assumptions!$B$12="Cash",0,IF(A63&lt;=Assumptions!$B$15,Monthly!$S$1,0))</f>
      </c>
      <c r="J63" s="3">
        <f>E63-F63-G63-H63-I63</f>
      </c>
      <c r="K63" s="3">
        <f>IF(AND(A63-CEILING(Assumptions!$E$27/30,1)&gt;=1,A63-CEILING(Assumptions!$E$27/30,1)&lt;=156),INDEX($E$2:$E$157,A63-CEILING(Assumptions!$E$27/30,1))*Assumptions!$B$27/100,0)</f>
      </c>
      <c r="L63" s="3">
        <f>IF(AND(A63-CEILING(Assumptions!$E$28/30,1)&gt;=1,A63-CEILING(Assumptions!$E$28/30,1)&lt;=156),INDEX($E$2:$E$157,A63-CEILING(Assumptions!$E$28/30,1))*Assumptions!$B$28/100,0)</f>
      </c>
      <c r="M63" s="3">
        <f>IF(AND(A63-CEILING(Assumptions!$E$29/30,1)&gt;=1,A63-CEILING(Assumptions!$E$29/30,1)&lt;=156),INDEX($E$2:$E$157,A63-CEILING(Assumptions!$E$29/30,1))*Assumptions!$B$29/100,0)</f>
      </c>
      <c r="N63" s="3">
        <f>IF(AND(A63-CEILING(Assumptions!$E$30/30,1)&gt;=1,A63-CEILING(Assumptions!$E$30/30,1)&lt;=156),INDEX($E$2:$E$157,A63-CEILING(Assumptions!$E$30/30,1))*Assumptions!$B$30/100,0)</f>
      </c>
      <c r="O63" s="3">
        <f>IF(AND(A63-CEILING(Assumptions!$E$31/30,1)&gt;=1,A63-CEILING(Assumptions!$E$31/30,1)&lt;=156),INDEX($E$2:$E$157,A63-CEILING(Assumptions!$E$31/30,1))*Assumptions!$B$31/100,0)</f>
      </c>
      <c r="P63" s="3">
        <f>K63+L63+M63+N63+O63</f>
      </c>
      <c r="Q63" s="2"/>
      <c r="R63" s="2"/>
      <c r="S63" s="2"/>
    </row>
    <row r="64" ht="19" customHeight="1" spans="1:19" x14ac:dyDescent="0.25">
      <c r="A64" s="4">
        <v>63</v>
      </c>
      <c r="B64" s="4">
        <v>6</v>
      </c>
      <c r="C64" s="3">
        <f>Assumptions!$B$5*Assumptions!$B$32*Assumptions!$B$6*D64</f>
      </c>
      <c r="D64" s="5">
        <f>IF(A64&lt;=3,Assumptions!$B$21,IF(A64&lt;=6,Assumptions!$B$22,IF(A64&lt;=12,Assumptions!$B$23,Assumptions!$B$24)))/100</f>
      </c>
      <c r="E64" s="3">
        <f>Assumptions!$B$5*Assumptions!$B$33*Assumptions!$B$6*D64</f>
      </c>
      <c r="F64" s="3">
        <f>Assumptions!$B$5*Assumptions!$B$7*Assumptions!$B$6*D64</f>
      </c>
      <c r="G64" s="3">
        <f>Assumptions!$B$8</f>
      </c>
      <c r="H64" s="3">
        <f>IF(INDEX(Assumptions!$B$35:$B$47,B64)&lt;&gt;"",INDEX(Assumptions!$B$35:$B$47,B64)/100*Assumptions!$B$2,IF(B64&lt;=Assumptions!$B$17,0,IF(B64&lt;=Assumptions!$B$17+Assumptions!$B$18,Assumptions!$B$19,Assumptions!$B$20)))/12</f>
      </c>
      <c r="I64" s="3">
        <f>IF(Assumptions!$B$12="Cash",0,IF(A64&lt;=Assumptions!$B$15,Monthly!$S$1,0))</f>
      </c>
      <c r="J64" s="3">
        <f>E64-F64-G64-H64-I64</f>
      </c>
      <c r="K64" s="3">
        <f>IF(AND(A64-CEILING(Assumptions!$E$27/30,1)&gt;=1,A64-CEILING(Assumptions!$E$27/30,1)&lt;=156),INDEX($E$2:$E$157,A64-CEILING(Assumptions!$E$27/30,1))*Assumptions!$B$27/100,0)</f>
      </c>
      <c r="L64" s="3">
        <f>IF(AND(A64-CEILING(Assumptions!$E$28/30,1)&gt;=1,A64-CEILING(Assumptions!$E$28/30,1)&lt;=156),INDEX($E$2:$E$157,A64-CEILING(Assumptions!$E$28/30,1))*Assumptions!$B$28/100,0)</f>
      </c>
      <c r="M64" s="3">
        <f>IF(AND(A64-CEILING(Assumptions!$E$29/30,1)&gt;=1,A64-CEILING(Assumptions!$E$29/30,1)&lt;=156),INDEX($E$2:$E$157,A64-CEILING(Assumptions!$E$29/30,1))*Assumptions!$B$29/100,0)</f>
      </c>
      <c r="N64" s="3">
        <f>IF(AND(A64-CEILING(Assumptions!$E$30/30,1)&gt;=1,A64-CEILING(Assumptions!$E$30/30,1)&lt;=156),INDEX($E$2:$E$157,A64-CEILING(Assumptions!$E$30/30,1))*Assumptions!$B$30/100,0)</f>
      </c>
      <c r="O64" s="3">
        <f>IF(AND(A64-CEILING(Assumptions!$E$31/30,1)&gt;=1,A64-CEILING(Assumptions!$E$31/30,1)&lt;=156),INDEX($E$2:$E$157,A64-CEILING(Assumptions!$E$31/30,1))*Assumptions!$B$31/100,0)</f>
      </c>
      <c r="P64" s="3">
        <f>K64+L64+M64+N64+O64</f>
      </c>
      <c r="Q64" s="2"/>
      <c r="R64" s="2"/>
      <c r="S64" s="2"/>
    </row>
    <row r="65" ht="19" customHeight="1" spans="1:19" x14ac:dyDescent="0.25">
      <c r="A65" s="4">
        <v>64</v>
      </c>
      <c r="B65" s="4">
        <v>6</v>
      </c>
      <c r="C65" s="3">
        <f>Assumptions!$B$5*Assumptions!$B$32*Assumptions!$B$6*D65</f>
      </c>
      <c r="D65" s="5">
        <f>IF(A65&lt;=3,Assumptions!$B$21,IF(A65&lt;=6,Assumptions!$B$22,IF(A65&lt;=12,Assumptions!$B$23,Assumptions!$B$24)))/100</f>
      </c>
      <c r="E65" s="3">
        <f>Assumptions!$B$5*Assumptions!$B$33*Assumptions!$B$6*D65</f>
      </c>
      <c r="F65" s="3">
        <f>Assumptions!$B$5*Assumptions!$B$7*Assumptions!$B$6*D65</f>
      </c>
      <c r="G65" s="3">
        <f>Assumptions!$B$8</f>
      </c>
      <c r="H65" s="3">
        <f>IF(INDEX(Assumptions!$B$35:$B$47,B65)&lt;&gt;"",INDEX(Assumptions!$B$35:$B$47,B65)/100*Assumptions!$B$2,IF(B65&lt;=Assumptions!$B$17,0,IF(B65&lt;=Assumptions!$B$17+Assumptions!$B$18,Assumptions!$B$19,Assumptions!$B$20)))/12</f>
      </c>
      <c r="I65" s="3">
        <f>IF(Assumptions!$B$12="Cash",0,IF(A65&lt;=Assumptions!$B$15,Monthly!$S$1,0))</f>
      </c>
      <c r="J65" s="3">
        <f>E65-F65-G65-H65-I65</f>
      </c>
      <c r="K65" s="3">
        <f>IF(AND(A65-CEILING(Assumptions!$E$27/30,1)&gt;=1,A65-CEILING(Assumptions!$E$27/30,1)&lt;=156),INDEX($E$2:$E$157,A65-CEILING(Assumptions!$E$27/30,1))*Assumptions!$B$27/100,0)</f>
      </c>
      <c r="L65" s="3">
        <f>IF(AND(A65-CEILING(Assumptions!$E$28/30,1)&gt;=1,A65-CEILING(Assumptions!$E$28/30,1)&lt;=156),INDEX($E$2:$E$157,A65-CEILING(Assumptions!$E$28/30,1))*Assumptions!$B$28/100,0)</f>
      </c>
      <c r="M65" s="3">
        <f>IF(AND(A65-CEILING(Assumptions!$E$29/30,1)&gt;=1,A65-CEILING(Assumptions!$E$29/30,1)&lt;=156),INDEX($E$2:$E$157,A65-CEILING(Assumptions!$E$29/30,1))*Assumptions!$B$29/100,0)</f>
      </c>
      <c r="N65" s="3">
        <f>IF(AND(A65-CEILING(Assumptions!$E$30/30,1)&gt;=1,A65-CEILING(Assumptions!$E$30/30,1)&lt;=156),INDEX($E$2:$E$157,A65-CEILING(Assumptions!$E$30/30,1))*Assumptions!$B$30/100,0)</f>
      </c>
      <c r="O65" s="3">
        <f>IF(AND(A65-CEILING(Assumptions!$E$31/30,1)&gt;=1,A65-CEILING(Assumptions!$E$31/30,1)&lt;=156),INDEX($E$2:$E$157,A65-CEILING(Assumptions!$E$31/30,1))*Assumptions!$B$31/100,0)</f>
      </c>
      <c r="P65" s="3">
        <f>K65+L65+M65+N65+O65</f>
      </c>
      <c r="Q65" s="2"/>
      <c r="R65" s="2"/>
      <c r="S65" s="2"/>
    </row>
    <row r="66" ht="19" customHeight="1" spans="1:19" x14ac:dyDescent="0.25">
      <c r="A66" s="4">
        <v>65</v>
      </c>
      <c r="B66" s="4">
        <v>6</v>
      </c>
      <c r="C66" s="3">
        <f>Assumptions!$B$5*Assumptions!$B$32*Assumptions!$B$6*D66</f>
      </c>
      <c r="D66" s="5">
        <f>IF(A66&lt;=3,Assumptions!$B$21,IF(A66&lt;=6,Assumptions!$B$22,IF(A66&lt;=12,Assumptions!$B$23,Assumptions!$B$24)))/100</f>
      </c>
      <c r="E66" s="3">
        <f>Assumptions!$B$5*Assumptions!$B$33*Assumptions!$B$6*D66</f>
      </c>
      <c r="F66" s="3">
        <f>Assumptions!$B$5*Assumptions!$B$7*Assumptions!$B$6*D66</f>
      </c>
      <c r="G66" s="3">
        <f>Assumptions!$B$8</f>
      </c>
      <c r="H66" s="3">
        <f>IF(INDEX(Assumptions!$B$35:$B$47,B66)&lt;&gt;"",INDEX(Assumptions!$B$35:$B$47,B66)/100*Assumptions!$B$2,IF(B66&lt;=Assumptions!$B$17,0,IF(B66&lt;=Assumptions!$B$17+Assumptions!$B$18,Assumptions!$B$19,Assumptions!$B$20)))/12</f>
      </c>
      <c r="I66" s="3">
        <f>IF(Assumptions!$B$12="Cash",0,IF(A66&lt;=Assumptions!$B$15,Monthly!$S$1,0))</f>
      </c>
      <c r="J66" s="3">
        <f>E66-F66-G66-H66-I66</f>
      </c>
      <c r="K66" s="3">
        <f>IF(AND(A66-CEILING(Assumptions!$E$27/30,1)&gt;=1,A66-CEILING(Assumptions!$E$27/30,1)&lt;=156),INDEX($E$2:$E$157,A66-CEILING(Assumptions!$E$27/30,1))*Assumptions!$B$27/100,0)</f>
      </c>
      <c r="L66" s="3">
        <f>IF(AND(A66-CEILING(Assumptions!$E$28/30,1)&gt;=1,A66-CEILING(Assumptions!$E$28/30,1)&lt;=156),INDEX($E$2:$E$157,A66-CEILING(Assumptions!$E$28/30,1))*Assumptions!$B$28/100,0)</f>
      </c>
      <c r="M66" s="3">
        <f>IF(AND(A66-CEILING(Assumptions!$E$29/30,1)&gt;=1,A66-CEILING(Assumptions!$E$29/30,1)&lt;=156),INDEX($E$2:$E$157,A66-CEILING(Assumptions!$E$29/30,1))*Assumptions!$B$29/100,0)</f>
      </c>
      <c r="N66" s="3">
        <f>IF(AND(A66-CEILING(Assumptions!$E$30/30,1)&gt;=1,A66-CEILING(Assumptions!$E$30/30,1)&lt;=156),INDEX($E$2:$E$157,A66-CEILING(Assumptions!$E$30/30,1))*Assumptions!$B$30/100,0)</f>
      </c>
      <c r="O66" s="3">
        <f>IF(AND(A66-CEILING(Assumptions!$E$31/30,1)&gt;=1,A66-CEILING(Assumptions!$E$31/30,1)&lt;=156),INDEX($E$2:$E$157,A66-CEILING(Assumptions!$E$31/30,1))*Assumptions!$B$31/100,0)</f>
      </c>
      <c r="P66" s="3">
        <f>K66+L66+M66+N66+O66</f>
      </c>
      <c r="Q66" s="2"/>
      <c r="R66" s="2"/>
      <c r="S66" s="2"/>
    </row>
    <row r="67" ht="19" customHeight="1" spans="1:19" x14ac:dyDescent="0.25">
      <c r="A67" s="4">
        <v>66</v>
      </c>
      <c r="B67" s="4">
        <v>6</v>
      </c>
      <c r="C67" s="3">
        <f>Assumptions!$B$5*Assumptions!$B$32*Assumptions!$B$6*D67</f>
      </c>
      <c r="D67" s="5">
        <f>IF(A67&lt;=3,Assumptions!$B$21,IF(A67&lt;=6,Assumptions!$B$22,IF(A67&lt;=12,Assumptions!$B$23,Assumptions!$B$24)))/100</f>
      </c>
      <c r="E67" s="3">
        <f>Assumptions!$B$5*Assumptions!$B$33*Assumptions!$B$6*D67</f>
      </c>
      <c r="F67" s="3">
        <f>Assumptions!$B$5*Assumptions!$B$7*Assumptions!$B$6*D67</f>
      </c>
      <c r="G67" s="3">
        <f>Assumptions!$B$8</f>
      </c>
      <c r="H67" s="3">
        <f>IF(INDEX(Assumptions!$B$35:$B$47,B67)&lt;&gt;"",INDEX(Assumptions!$B$35:$B$47,B67)/100*Assumptions!$B$2,IF(B67&lt;=Assumptions!$B$17,0,IF(B67&lt;=Assumptions!$B$17+Assumptions!$B$18,Assumptions!$B$19,Assumptions!$B$20)))/12</f>
      </c>
      <c r="I67" s="3">
        <f>IF(Assumptions!$B$12="Cash",0,IF(A67&lt;=Assumptions!$B$15,Monthly!$S$1,0))</f>
      </c>
      <c r="J67" s="3">
        <f>E67-F67-G67-H67-I67</f>
      </c>
      <c r="K67" s="3">
        <f>IF(AND(A67-CEILING(Assumptions!$E$27/30,1)&gt;=1,A67-CEILING(Assumptions!$E$27/30,1)&lt;=156),INDEX($E$2:$E$157,A67-CEILING(Assumptions!$E$27/30,1))*Assumptions!$B$27/100,0)</f>
      </c>
      <c r="L67" s="3">
        <f>IF(AND(A67-CEILING(Assumptions!$E$28/30,1)&gt;=1,A67-CEILING(Assumptions!$E$28/30,1)&lt;=156),INDEX($E$2:$E$157,A67-CEILING(Assumptions!$E$28/30,1))*Assumptions!$B$28/100,0)</f>
      </c>
      <c r="M67" s="3">
        <f>IF(AND(A67-CEILING(Assumptions!$E$29/30,1)&gt;=1,A67-CEILING(Assumptions!$E$29/30,1)&lt;=156),INDEX($E$2:$E$157,A67-CEILING(Assumptions!$E$29/30,1))*Assumptions!$B$29/100,0)</f>
      </c>
      <c r="N67" s="3">
        <f>IF(AND(A67-CEILING(Assumptions!$E$30/30,1)&gt;=1,A67-CEILING(Assumptions!$E$30/30,1)&lt;=156),INDEX($E$2:$E$157,A67-CEILING(Assumptions!$E$30/30,1))*Assumptions!$B$30/100,0)</f>
      </c>
      <c r="O67" s="3">
        <f>IF(AND(A67-CEILING(Assumptions!$E$31/30,1)&gt;=1,A67-CEILING(Assumptions!$E$31/30,1)&lt;=156),INDEX($E$2:$E$157,A67-CEILING(Assumptions!$E$31/30,1))*Assumptions!$B$31/100,0)</f>
      </c>
      <c r="P67" s="3">
        <f>K67+L67+M67+N67+O67</f>
      </c>
      <c r="Q67" s="2"/>
      <c r="R67" s="2"/>
      <c r="S67" s="2"/>
    </row>
    <row r="68" ht="19" customHeight="1" spans="1:19" x14ac:dyDescent="0.25">
      <c r="A68" s="4">
        <v>67</v>
      </c>
      <c r="B68" s="4">
        <v>6</v>
      </c>
      <c r="C68" s="3">
        <f>Assumptions!$B$5*Assumptions!$B$32*Assumptions!$B$6*D68</f>
      </c>
      <c r="D68" s="5">
        <f>IF(A68&lt;=3,Assumptions!$B$21,IF(A68&lt;=6,Assumptions!$B$22,IF(A68&lt;=12,Assumptions!$B$23,Assumptions!$B$24)))/100</f>
      </c>
      <c r="E68" s="3">
        <f>Assumptions!$B$5*Assumptions!$B$33*Assumptions!$B$6*D68</f>
      </c>
      <c r="F68" s="3">
        <f>Assumptions!$B$5*Assumptions!$B$7*Assumptions!$B$6*D68</f>
      </c>
      <c r="G68" s="3">
        <f>Assumptions!$B$8</f>
      </c>
      <c r="H68" s="3">
        <f>IF(INDEX(Assumptions!$B$35:$B$47,B68)&lt;&gt;"",INDEX(Assumptions!$B$35:$B$47,B68)/100*Assumptions!$B$2,IF(B68&lt;=Assumptions!$B$17,0,IF(B68&lt;=Assumptions!$B$17+Assumptions!$B$18,Assumptions!$B$19,Assumptions!$B$20)))/12</f>
      </c>
      <c r="I68" s="3">
        <f>IF(Assumptions!$B$12="Cash",0,IF(A68&lt;=Assumptions!$B$15,Monthly!$S$1,0))</f>
      </c>
      <c r="J68" s="3">
        <f>E68-F68-G68-H68-I68</f>
      </c>
      <c r="K68" s="3">
        <f>IF(AND(A68-CEILING(Assumptions!$E$27/30,1)&gt;=1,A68-CEILING(Assumptions!$E$27/30,1)&lt;=156),INDEX($E$2:$E$157,A68-CEILING(Assumptions!$E$27/30,1))*Assumptions!$B$27/100,0)</f>
      </c>
      <c r="L68" s="3">
        <f>IF(AND(A68-CEILING(Assumptions!$E$28/30,1)&gt;=1,A68-CEILING(Assumptions!$E$28/30,1)&lt;=156),INDEX($E$2:$E$157,A68-CEILING(Assumptions!$E$28/30,1))*Assumptions!$B$28/100,0)</f>
      </c>
      <c r="M68" s="3">
        <f>IF(AND(A68-CEILING(Assumptions!$E$29/30,1)&gt;=1,A68-CEILING(Assumptions!$E$29/30,1)&lt;=156),INDEX($E$2:$E$157,A68-CEILING(Assumptions!$E$29/30,1))*Assumptions!$B$29/100,0)</f>
      </c>
      <c r="N68" s="3">
        <f>IF(AND(A68-CEILING(Assumptions!$E$30/30,1)&gt;=1,A68-CEILING(Assumptions!$E$30/30,1)&lt;=156),INDEX($E$2:$E$157,A68-CEILING(Assumptions!$E$30/30,1))*Assumptions!$B$30/100,0)</f>
      </c>
      <c r="O68" s="3">
        <f>IF(AND(A68-CEILING(Assumptions!$E$31/30,1)&gt;=1,A68-CEILING(Assumptions!$E$31/30,1)&lt;=156),INDEX($E$2:$E$157,A68-CEILING(Assumptions!$E$31/30,1))*Assumptions!$B$31/100,0)</f>
      </c>
      <c r="P68" s="3">
        <f>K68+L68+M68+N68+O68</f>
      </c>
      <c r="Q68" s="2"/>
      <c r="R68" s="2"/>
      <c r="S68" s="2"/>
    </row>
    <row r="69" ht="19" customHeight="1" spans="1:19" x14ac:dyDescent="0.25">
      <c r="A69" s="4">
        <v>68</v>
      </c>
      <c r="B69" s="4">
        <v>6</v>
      </c>
      <c r="C69" s="3">
        <f>Assumptions!$B$5*Assumptions!$B$32*Assumptions!$B$6*D69</f>
      </c>
      <c r="D69" s="5">
        <f>IF(A69&lt;=3,Assumptions!$B$21,IF(A69&lt;=6,Assumptions!$B$22,IF(A69&lt;=12,Assumptions!$B$23,Assumptions!$B$24)))/100</f>
      </c>
      <c r="E69" s="3">
        <f>Assumptions!$B$5*Assumptions!$B$33*Assumptions!$B$6*D69</f>
      </c>
      <c r="F69" s="3">
        <f>Assumptions!$B$5*Assumptions!$B$7*Assumptions!$B$6*D69</f>
      </c>
      <c r="G69" s="3">
        <f>Assumptions!$B$8</f>
      </c>
      <c r="H69" s="3">
        <f>IF(INDEX(Assumptions!$B$35:$B$47,B69)&lt;&gt;"",INDEX(Assumptions!$B$35:$B$47,B69)/100*Assumptions!$B$2,IF(B69&lt;=Assumptions!$B$17,0,IF(B69&lt;=Assumptions!$B$17+Assumptions!$B$18,Assumptions!$B$19,Assumptions!$B$20)))/12</f>
      </c>
      <c r="I69" s="3">
        <f>IF(Assumptions!$B$12="Cash",0,IF(A69&lt;=Assumptions!$B$15,Monthly!$S$1,0))</f>
      </c>
      <c r="J69" s="3">
        <f>E69-F69-G69-H69-I69</f>
      </c>
      <c r="K69" s="3">
        <f>IF(AND(A69-CEILING(Assumptions!$E$27/30,1)&gt;=1,A69-CEILING(Assumptions!$E$27/30,1)&lt;=156),INDEX($E$2:$E$157,A69-CEILING(Assumptions!$E$27/30,1))*Assumptions!$B$27/100,0)</f>
      </c>
      <c r="L69" s="3">
        <f>IF(AND(A69-CEILING(Assumptions!$E$28/30,1)&gt;=1,A69-CEILING(Assumptions!$E$28/30,1)&lt;=156),INDEX($E$2:$E$157,A69-CEILING(Assumptions!$E$28/30,1))*Assumptions!$B$28/100,0)</f>
      </c>
      <c r="M69" s="3">
        <f>IF(AND(A69-CEILING(Assumptions!$E$29/30,1)&gt;=1,A69-CEILING(Assumptions!$E$29/30,1)&lt;=156),INDEX($E$2:$E$157,A69-CEILING(Assumptions!$E$29/30,1))*Assumptions!$B$29/100,0)</f>
      </c>
      <c r="N69" s="3">
        <f>IF(AND(A69-CEILING(Assumptions!$E$30/30,1)&gt;=1,A69-CEILING(Assumptions!$E$30/30,1)&lt;=156),INDEX($E$2:$E$157,A69-CEILING(Assumptions!$E$30/30,1))*Assumptions!$B$30/100,0)</f>
      </c>
      <c r="O69" s="3">
        <f>IF(AND(A69-CEILING(Assumptions!$E$31/30,1)&gt;=1,A69-CEILING(Assumptions!$E$31/30,1)&lt;=156),INDEX($E$2:$E$157,A69-CEILING(Assumptions!$E$31/30,1))*Assumptions!$B$31/100,0)</f>
      </c>
      <c r="P69" s="3">
        <f>K69+L69+M69+N69+O69</f>
      </c>
      <c r="Q69" s="2"/>
      <c r="R69" s="2"/>
      <c r="S69" s="2"/>
    </row>
    <row r="70" ht="19" customHeight="1" spans="1:19" x14ac:dyDescent="0.25">
      <c r="A70" s="4">
        <v>69</v>
      </c>
      <c r="B70" s="4">
        <v>6</v>
      </c>
      <c r="C70" s="3">
        <f>Assumptions!$B$5*Assumptions!$B$32*Assumptions!$B$6*D70</f>
      </c>
      <c r="D70" s="5">
        <f>IF(A70&lt;=3,Assumptions!$B$21,IF(A70&lt;=6,Assumptions!$B$22,IF(A70&lt;=12,Assumptions!$B$23,Assumptions!$B$24)))/100</f>
      </c>
      <c r="E70" s="3">
        <f>Assumptions!$B$5*Assumptions!$B$33*Assumptions!$B$6*D70</f>
      </c>
      <c r="F70" s="3">
        <f>Assumptions!$B$5*Assumptions!$B$7*Assumptions!$B$6*D70</f>
      </c>
      <c r="G70" s="3">
        <f>Assumptions!$B$8</f>
      </c>
      <c r="H70" s="3">
        <f>IF(INDEX(Assumptions!$B$35:$B$47,B70)&lt;&gt;"",INDEX(Assumptions!$B$35:$B$47,B70)/100*Assumptions!$B$2,IF(B70&lt;=Assumptions!$B$17,0,IF(B70&lt;=Assumptions!$B$17+Assumptions!$B$18,Assumptions!$B$19,Assumptions!$B$20)))/12</f>
      </c>
      <c r="I70" s="3">
        <f>IF(Assumptions!$B$12="Cash",0,IF(A70&lt;=Assumptions!$B$15,Monthly!$S$1,0))</f>
      </c>
      <c r="J70" s="3">
        <f>E70-F70-G70-H70-I70</f>
      </c>
      <c r="K70" s="3">
        <f>IF(AND(A70-CEILING(Assumptions!$E$27/30,1)&gt;=1,A70-CEILING(Assumptions!$E$27/30,1)&lt;=156),INDEX($E$2:$E$157,A70-CEILING(Assumptions!$E$27/30,1))*Assumptions!$B$27/100,0)</f>
      </c>
      <c r="L70" s="3">
        <f>IF(AND(A70-CEILING(Assumptions!$E$28/30,1)&gt;=1,A70-CEILING(Assumptions!$E$28/30,1)&lt;=156),INDEX($E$2:$E$157,A70-CEILING(Assumptions!$E$28/30,1))*Assumptions!$B$28/100,0)</f>
      </c>
      <c r="M70" s="3">
        <f>IF(AND(A70-CEILING(Assumptions!$E$29/30,1)&gt;=1,A70-CEILING(Assumptions!$E$29/30,1)&lt;=156),INDEX($E$2:$E$157,A70-CEILING(Assumptions!$E$29/30,1))*Assumptions!$B$29/100,0)</f>
      </c>
      <c r="N70" s="3">
        <f>IF(AND(A70-CEILING(Assumptions!$E$30/30,1)&gt;=1,A70-CEILING(Assumptions!$E$30/30,1)&lt;=156),INDEX($E$2:$E$157,A70-CEILING(Assumptions!$E$30/30,1))*Assumptions!$B$30/100,0)</f>
      </c>
      <c r="O70" s="3">
        <f>IF(AND(A70-CEILING(Assumptions!$E$31/30,1)&gt;=1,A70-CEILING(Assumptions!$E$31/30,1)&lt;=156),INDEX($E$2:$E$157,A70-CEILING(Assumptions!$E$31/30,1))*Assumptions!$B$31/100,0)</f>
      </c>
      <c r="P70" s="3">
        <f>K70+L70+M70+N70+O70</f>
      </c>
      <c r="Q70" s="2"/>
      <c r="R70" s="2"/>
      <c r="S70" s="2"/>
    </row>
    <row r="71" ht="19" customHeight="1" spans="1:19" x14ac:dyDescent="0.25">
      <c r="A71" s="4">
        <v>70</v>
      </c>
      <c r="B71" s="4">
        <v>6</v>
      </c>
      <c r="C71" s="3">
        <f>Assumptions!$B$5*Assumptions!$B$32*Assumptions!$B$6*D71</f>
      </c>
      <c r="D71" s="5">
        <f>IF(A71&lt;=3,Assumptions!$B$21,IF(A71&lt;=6,Assumptions!$B$22,IF(A71&lt;=12,Assumptions!$B$23,Assumptions!$B$24)))/100</f>
      </c>
      <c r="E71" s="3">
        <f>Assumptions!$B$5*Assumptions!$B$33*Assumptions!$B$6*D71</f>
      </c>
      <c r="F71" s="3">
        <f>Assumptions!$B$5*Assumptions!$B$7*Assumptions!$B$6*D71</f>
      </c>
      <c r="G71" s="3">
        <f>Assumptions!$B$8</f>
      </c>
      <c r="H71" s="3">
        <f>IF(INDEX(Assumptions!$B$35:$B$47,B71)&lt;&gt;"",INDEX(Assumptions!$B$35:$B$47,B71)/100*Assumptions!$B$2,IF(B71&lt;=Assumptions!$B$17,0,IF(B71&lt;=Assumptions!$B$17+Assumptions!$B$18,Assumptions!$B$19,Assumptions!$B$20)))/12</f>
      </c>
      <c r="I71" s="3">
        <f>IF(Assumptions!$B$12="Cash",0,IF(A71&lt;=Assumptions!$B$15,Monthly!$S$1,0))</f>
      </c>
      <c r="J71" s="3">
        <f>E71-F71-G71-H71-I71</f>
      </c>
      <c r="K71" s="3">
        <f>IF(AND(A71-CEILING(Assumptions!$E$27/30,1)&gt;=1,A71-CEILING(Assumptions!$E$27/30,1)&lt;=156),INDEX($E$2:$E$157,A71-CEILING(Assumptions!$E$27/30,1))*Assumptions!$B$27/100,0)</f>
      </c>
      <c r="L71" s="3">
        <f>IF(AND(A71-CEILING(Assumptions!$E$28/30,1)&gt;=1,A71-CEILING(Assumptions!$E$28/30,1)&lt;=156),INDEX($E$2:$E$157,A71-CEILING(Assumptions!$E$28/30,1))*Assumptions!$B$28/100,0)</f>
      </c>
      <c r="M71" s="3">
        <f>IF(AND(A71-CEILING(Assumptions!$E$29/30,1)&gt;=1,A71-CEILING(Assumptions!$E$29/30,1)&lt;=156),INDEX($E$2:$E$157,A71-CEILING(Assumptions!$E$29/30,1))*Assumptions!$B$29/100,0)</f>
      </c>
      <c r="N71" s="3">
        <f>IF(AND(A71-CEILING(Assumptions!$E$30/30,1)&gt;=1,A71-CEILING(Assumptions!$E$30/30,1)&lt;=156),INDEX($E$2:$E$157,A71-CEILING(Assumptions!$E$30/30,1))*Assumptions!$B$30/100,0)</f>
      </c>
      <c r="O71" s="3">
        <f>IF(AND(A71-CEILING(Assumptions!$E$31/30,1)&gt;=1,A71-CEILING(Assumptions!$E$31/30,1)&lt;=156),INDEX($E$2:$E$157,A71-CEILING(Assumptions!$E$31/30,1))*Assumptions!$B$31/100,0)</f>
      </c>
      <c r="P71" s="3">
        <f>K71+L71+M71+N71+O71</f>
      </c>
      <c r="Q71" s="2"/>
      <c r="R71" s="2"/>
      <c r="S71" s="2"/>
    </row>
    <row r="72" ht="19" customHeight="1" spans="1:19" x14ac:dyDescent="0.25">
      <c r="A72" s="4">
        <v>71</v>
      </c>
      <c r="B72" s="4">
        <v>6</v>
      </c>
      <c r="C72" s="3">
        <f>Assumptions!$B$5*Assumptions!$B$32*Assumptions!$B$6*D72</f>
      </c>
      <c r="D72" s="5">
        <f>IF(A72&lt;=3,Assumptions!$B$21,IF(A72&lt;=6,Assumptions!$B$22,IF(A72&lt;=12,Assumptions!$B$23,Assumptions!$B$24)))/100</f>
      </c>
      <c r="E72" s="3">
        <f>Assumptions!$B$5*Assumptions!$B$33*Assumptions!$B$6*D72</f>
      </c>
      <c r="F72" s="3">
        <f>Assumptions!$B$5*Assumptions!$B$7*Assumptions!$B$6*D72</f>
      </c>
      <c r="G72" s="3">
        <f>Assumptions!$B$8</f>
      </c>
      <c r="H72" s="3">
        <f>IF(INDEX(Assumptions!$B$35:$B$47,B72)&lt;&gt;"",INDEX(Assumptions!$B$35:$B$47,B72)/100*Assumptions!$B$2,IF(B72&lt;=Assumptions!$B$17,0,IF(B72&lt;=Assumptions!$B$17+Assumptions!$B$18,Assumptions!$B$19,Assumptions!$B$20)))/12</f>
      </c>
      <c r="I72" s="3">
        <f>IF(Assumptions!$B$12="Cash",0,IF(A72&lt;=Assumptions!$B$15,Monthly!$S$1,0))</f>
      </c>
      <c r="J72" s="3">
        <f>E72-F72-G72-H72-I72</f>
      </c>
      <c r="K72" s="3">
        <f>IF(AND(A72-CEILING(Assumptions!$E$27/30,1)&gt;=1,A72-CEILING(Assumptions!$E$27/30,1)&lt;=156),INDEX($E$2:$E$157,A72-CEILING(Assumptions!$E$27/30,1))*Assumptions!$B$27/100,0)</f>
      </c>
      <c r="L72" s="3">
        <f>IF(AND(A72-CEILING(Assumptions!$E$28/30,1)&gt;=1,A72-CEILING(Assumptions!$E$28/30,1)&lt;=156),INDEX($E$2:$E$157,A72-CEILING(Assumptions!$E$28/30,1))*Assumptions!$B$28/100,0)</f>
      </c>
      <c r="M72" s="3">
        <f>IF(AND(A72-CEILING(Assumptions!$E$29/30,1)&gt;=1,A72-CEILING(Assumptions!$E$29/30,1)&lt;=156),INDEX($E$2:$E$157,A72-CEILING(Assumptions!$E$29/30,1))*Assumptions!$B$29/100,0)</f>
      </c>
      <c r="N72" s="3">
        <f>IF(AND(A72-CEILING(Assumptions!$E$30/30,1)&gt;=1,A72-CEILING(Assumptions!$E$30/30,1)&lt;=156),INDEX($E$2:$E$157,A72-CEILING(Assumptions!$E$30/30,1))*Assumptions!$B$30/100,0)</f>
      </c>
      <c r="O72" s="3">
        <f>IF(AND(A72-CEILING(Assumptions!$E$31/30,1)&gt;=1,A72-CEILING(Assumptions!$E$31/30,1)&lt;=156),INDEX($E$2:$E$157,A72-CEILING(Assumptions!$E$31/30,1))*Assumptions!$B$31/100,0)</f>
      </c>
      <c r="P72" s="3">
        <f>K72+L72+M72+N72+O72</f>
      </c>
      <c r="Q72" s="2"/>
      <c r="R72" s="2"/>
      <c r="S72" s="2"/>
    </row>
    <row r="73" ht="19" customHeight="1" spans="1:19" x14ac:dyDescent="0.25">
      <c r="A73" s="4">
        <v>72</v>
      </c>
      <c r="B73" s="4">
        <v>6</v>
      </c>
      <c r="C73" s="3">
        <f>Assumptions!$B$5*Assumptions!$B$32*Assumptions!$B$6*D73</f>
      </c>
      <c r="D73" s="5">
        <f>IF(A73&lt;=3,Assumptions!$B$21,IF(A73&lt;=6,Assumptions!$B$22,IF(A73&lt;=12,Assumptions!$B$23,Assumptions!$B$24)))/100</f>
      </c>
      <c r="E73" s="3">
        <f>Assumptions!$B$5*Assumptions!$B$33*Assumptions!$B$6*D73</f>
      </c>
      <c r="F73" s="3">
        <f>Assumptions!$B$5*Assumptions!$B$7*Assumptions!$B$6*D73</f>
      </c>
      <c r="G73" s="3">
        <f>Assumptions!$B$8</f>
      </c>
      <c r="H73" s="3">
        <f>IF(INDEX(Assumptions!$B$35:$B$47,B73)&lt;&gt;"",INDEX(Assumptions!$B$35:$B$47,B73)/100*Assumptions!$B$2,IF(B73&lt;=Assumptions!$B$17,0,IF(B73&lt;=Assumptions!$B$17+Assumptions!$B$18,Assumptions!$B$19,Assumptions!$B$20)))/12</f>
      </c>
      <c r="I73" s="3">
        <f>IF(Assumptions!$B$12="Cash",0,IF(A73&lt;=Assumptions!$B$15,Monthly!$S$1,0))</f>
      </c>
      <c r="J73" s="3">
        <f>E73-F73-G73-H73-I73</f>
      </c>
      <c r="K73" s="3">
        <f>IF(AND(A73-CEILING(Assumptions!$E$27/30,1)&gt;=1,A73-CEILING(Assumptions!$E$27/30,1)&lt;=156),INDEX($E$2:$E$157,A73-CEILING(Assumptions!$E$27/30,1))*Assumptions!$B$27/100,0)</f>
      </c>
      <c r="L73" s="3">
        <f>IF(AND(A73-CEILING(Assumptions!$E$28/30,1)&gt;=1,A73-CEILING(Assumptions!$E$28/30,1)&lt;=156),INDEX($E$2:$E$157,A73-CEILING(Assumptions!$E$28/30,1))*Assumptions!$B$28/100,0)</f>
      </c>
      <c r="M73" s="3">
        <f>IF(AND(A73-CEILING(Assumptions!$E$29/30,1)&gt;=1,A73-CEILING(Assumptions!$E$29/30,1)&lt;=156),INDEX($E$2:$E$157,A73-CEILING(Assumptions!$E$29/30,1))*Assumptions!$B$29/100,0)</f>
      </c>
      <c r="N73" s="3">
        <f>IF(AND(A73-CEILING(Assumptions!$E$30/30,1)&gt;=1,A73-CEILING(Assumptions!$E$30/30,1)&lt;=156),INDEX($E$2:$E$157,A73-CEILING(Assumptions!$E$30/30,1))*Assumptions!$B$30/100,0)</f>
      </c>
      <c r="O73" s="3">
        <f>IF(AND(A73-CEILING(Assumptions!$E$31/30,1)&gt;=1,A73-CEILING(Assumptions!$E$31/30,1)&lt;=156),INDEX($E$2:$E$157,A73-CEILING(Assumptions!$E$31/30,1))*Assumptions!$B$31/100,0)</f>
      </c>
      <c r="P73" s="3">
        <f>K73+L73+M73+N73+O73</f>
      </c>
      <c r="Q73" s="2"/>
      <c r="R73" s="2"/>
      <c r="S73" s="2"/>
    </row>
    <row r="74" ht="19" customHeight="1" spans="1:19" x14ac:dyDescent="0.25">
      <c r="A74" s="4">
        <v>73</v>
      </c>
      <c r="B74" s="4">
        <v>7</v>
      </c>
      <c r="C74" s="3">
        <f>Assumptions!$B$5*Assumptions!$B$32*Assumptions!$B$6*D74</f>
      </c>
      <c r="D74" s="5">
        <f>IF(A74&lt;=3,Assumptions!$B$21,IF(A74&lt;=6,Assumptions!$B$22,IF(A74&lt;=12,Assumptions!$B$23,Assumptions!$B$24)))/100</f>
      </c>
      <c r="E74" s="3">
        <f>Assumptions!$B$5*Assumptions!$B$33*Assumptions!$B$6*D74</f>
      </c>
      <c r="F74" s="3">
        <f>Assumptions!$B$5*Assumptions!$B$7*Assumptions!$B$6*D74</f>
      </c>
      <c r="G74" s="3">
        <f>Assumptions!$B$8</f>
      </c>
      <c r="H74" s="3">
        <f>IF(INDEX(Assumptions!$B$35:$B$47,B74)&lt;&gt;"",INDEX(Assumptions!$B$35:$B$47,B74)/100*Assumptions!$B$2,IF(B74&lt;=Assumptions!$B$17,0,IF(B74&lt;=Assumptions!$B$17+Assumptions!$B$18,Assumptions!$B$19,Assumptions!$B$20)))/12</f>
      </c>
      <c r="I74" s="3">
        <f>IF(Assumptions!$B$12="Cash",0,IF(A74&lt;=Assumptions!$B$15,Monthly!$S$1,0))</f>
      </c>
      <c r="J74" s="3">
        <f>E74-F74-G74-H74-I74</f>
      </c>
      <c r="K74" s="3">
        <f>IF(AND(A74-CEILING(Assumptions!$E$27/30,1)&gt;=1,A74-CEILING(Assumptions!$E$27/30,1)&lt;=156),INDEX($E$2:$E$157,A74-CEILING(Assumptions!$E$27/30,1))*Assumptions!$B$27/100,0)</f>
      </c>
      <c r="L74" s="3">
        <f>IF(AND(A74-CEILING(Assumptions!$E$28/30,1)&gt;=1,A74-CEILING(Assumptions!$E$28/30,1)&lt;=156),INDEX($E$2:$E$157,A74-CEILING(Assumptions!$E$28/30,1))*Assumptions!$B$28/100,0)</f>
      </c>
      <c r="M74" s="3">
        <f>IF(AND(A74-CEILING(Assumptions!$E$29/30,1)&gt;=1,A74-CEILING(Assumptions!$E$29/30,1)&lt;=156),INDEX($E$2:$E$157,A74-CEILING(Assumptions!$E$29/30,1))*Assumptions!$B$29/100,0)</f>
      </c>
      <c r="N74" s="3">
        <f>IF(AND(A74-CEILING(Assumptions!$E$30/30,1)&gt;=1,A74-CEILING(Assumptions!$E$30/30,1)&lt;=156),INDEX($E$2:$E$157,A74-CEILING(Assumptions!$E$30/30,1))*Assumptions!$B$30/100,0)</f>
      </c>
      <c r="O74" s="3">
        <f>IF(AND(A74-CEILING(Assumptions!$E$31/30,1)&gt;=1,A74-CEILING(Assumptions!$E$31/30,1)&lt;=156),INDEX($E$2:$E$157,A74-CEILING(Assumptions!$E$31/30,1))*Assumptions!$B$31/100,0)</f>
      </c>
      <c r="P74" s="3">
        <f>K74+L74+M74+N74+O74</f>
      </c>
      <c r="Q74" s="2"/>
      <c r="R74" s="2"/>
      <c r="S74" s="2"/>
    </row>
    <row r="75" ht="19" customHeight="1" spans="1:19" x14ac:dyDescent="0.25">
      <c r="A75" s="4">
        <v>74</v>
      </c>
      <c r="B75" s="4">
        <v>7</v>
      </c>
      <c r="C75" s="3">
        <f>Assumptions!$B$5*Assumptions!$B$32*Assumptions!$B$6*D75</f>
      </c>
      <c r="D75" s="5">
        <f>IF(A75&lt;=3,Assumptions!$B$21,IF(A75&lt;=6,Assumptions!$B$22,IF(A75&lt;=12,Assumptions!$B$23,Assumptions!$B$24)))/100</f>
      </c>
      <c r="E75" s="3">
        <f>Assumptions!$B$5*Assumptions!$B$33*Assumptions!$B$6*D75</f>
      </c>
      <c r="F75" s="3">
        <f>Assumptions!$B$5*Assumptions!$B$7*Assumptions!$B$6*D75</f>
      </c>
      <c r="G75" s="3">
        <f>Assumptions!$B$8</f>
      </c>
      <c r="H75" s="3">
        <f>IF(INDEX(Assumptions!$B$35:$B$47,B75)&lt;&gt;"",INDEX(Assumptions!$B$35:$B$47,B75)/100*Assumptions!$B$2,IF(B75&lt;=Assumptions!$B$17,0,IF(B75&lt;=Assumptions!$B$17+Assumptions!$B$18,Assumptions!$B$19,Assumptions!$B$20)))/12</f>
      </c>
      <c r="I75" s="3">
        <f>IF(Assumptions!$B$12="Cash",0,IF(A75&lt;=Assumptions!$B$15,Monthly!$S$1,0))</f>
      </c>
      <c r="J75" s="3">
        <f>E75-F75-G75-H75-I75</f>
      </c>
      <c r="K75" s="3">
        <f>IF(AND(A75-CEILING(Assumptions!$E$27/30,1)&gt;=1,A75-CEILING(Assumptions!$E$27/30,1)&lt;=156),INDEX($E$2:$E$157,A75-CEILING(Assumptions!$E$27/30,1))*Assumptions!$B$27/100,0)</f>
      </c>
      <c r="L75" s="3">
        <f>IF(AND(A75-CEILING(Assumptions!$E$28/30,1)&gt;=1,A75-CEILING(Assumptions!$E$28/30,1)&lt;=156),INDEX($E$2:$E$157,A75-CEILING(Assumptions!$E$28/30,1))*Assumptions!$B$28/100,0)</f>
      </c>
      <c r="M75" s="3">
        <f>IF(AND(A75-CEILING(Assumptions!$E$29/30,1)&gt;=1,A75-CEILING(Assumptions!$E$29/30,1)&lt;=156),INDEX($E$2:$E$157,A75-CEILING(Assumptions!$E$29/30,1))*Assumptions!$B$29/100,0)</f>
      </c>
      <c r="N75" s="3">
        <f>IF(AND(A75-CEILING(Assumptions!$E$30/30,1)&gt;=1,A75-CEILING(Assumptions!$E$30/30,1)&lt;=156),INDEX($E$2:$E$157,A75-CEILING(Assumptions!$E$30/30,1))*Assumptions!$B$30/100,0)</f>
      </c>
      <c r="O75" s="3">
        <f>IF(AND(A75-CEILING(Assumptions!$E$31/30,1)&gt;=1,A75-CEILING(Assumptions!$E$31/30,1)&lt;=156),INDEX($E$2:$E$157,A75-CEILING(Assumptions!$E$31/30,1))*Assumptions!$B$31/100,0)</f>
      </c>
      <c r="P75" s="3">
        <f>K75+L75+M75+N75+O75</f>
      </c>
      <c r="Q75" s="2"/>
      <c r="R75" s="2"/>
      <c r="S75" s="2"/>
    </row>
    <row r="76" ht="19" customHeight="1" spans="1:19" x14ac:dyDescent="0.25">
      <c r="A76" s="4">
        <v>75</v>
      </c>
      <c r="B76" s="4">
        <v>7</v>
      </c>
      <c r="C76" s="3">
        <f>Assumptions!$B$5*Assumptions!$B$32*Assumptions!$B$6*D76</f>
      </c>
      <c r="D76" s="5">
        <f>IF(A76&lt;=3,Assumptions!$B$21,IF(A76&lt;=6,Assumptions!$B$22,IF(A76&lt;=12,Assumptions!$B$23,Assumptions!$B$24)))/100</f>
      </c>
      <c r="E76" s="3">
        <f>Assumptions!$B$5*Assumptions!$B$33*Assumptions!$B$6*D76</f>
      </c>
      <c r="F76" s="3">
        <f>Assumptions!$B$5*Assumptions!$B$7*Assumptions!$B$6*D76</f>
      </c>
      <c r="G76" s="3">
        <f>Assumptions!$B$8</f>
      </c>
      <c r="H76" s="3">
        <f>IF(INDEX(Assumptions!$B$35:$B$47,B76)&lt;&gt;"",INDEX(Assumptions!$B$35:$B$47,B76)/100*Assumptions!$B$2,IF(B76&lt;=Assumptions!$B$17,0,IF(B76&lt;=Assumptions!$B$17+Assumptions!$B$18,Assumptions!$B$19,Assumptions!$B$20)))/12</f>
      </c>
      <c r="I76" s="3">
        <f>IF(Assumptions!$B$12="Cash",0,IF(A76&lt;=Assumptions!$B$15,Monthly!$S$1,0))</f>
      </c>
      <c r="J76" s="3">
        <f>E76-F76-G76-H76-I76</f>
      </c>
      <c r="K76" s="3">
        <f>IF(AND(A76-CEILING(Assumptions!$E$27/30,1)&gt;=1,A76-CEILING(Assumptions!$E$27/30,1)&lt;=156),INDEX($E$2:$E$157,A76-CEILING(Assumptions!$E$27/30,1))*Assumptions!$B$27/100,0)</f>
      </c>
      <c r="L76" s="3">
        <f>IF(AND(A76-CEILING(Assumptions!$E$28/30,1)&gt;=1,A76-CEILING(Assumptions!$E$28/30,1)&lt;=156),INDEX($E$2:$E$157,A76-CEILING(Assumptions!$E$28/30,1))*Assumptions!$B$28/100,0)</f>
      </c>
      <c r="M76" s="3">
        <f>IF(AND(A76-CEILING(Assumptions!$E$29/30,1)&gt;=1,A76-CEILING(Assumptions!$E$29/30,1)&lt;=156),INDEX($E$2:$E$157,A76-CEILING(Assumptions!$E$29/30,1))*Assumptions!$B$29/100,0)</f>
      </c>
      <c r="N76" s="3">
        <f>IF(AND(A76-CEILING(Assumptions!$E$30/30,1)&gt;=1,A76-CEILING(Assumptions!$E$30/30,1)&lt;=156),INDEX($E$2:$E$157,A76-CEILING(Assumptions!$E$30/30,1))*Assumptions!$B$30/100,0)</f>
      </c>
      <c r="O76" s="3">
        <f>IF(AND(A76-CEILING(Assumptions!$E$31/30,1)&gt;=1,A76-CEILING(Assumptions!$E$31/30,1)&lt;=156),INDEX($E$2:$E$157,A76-CEILING(Assumptions!$E$31/30,1))*Assumptions!$B$31/100,0)</f>
      </c>
      <c r="P76" s="3">
        <f>K76+L76+M76+N76+O76</f>
      </c>
      <c r="Q76" s="2"/>
      <c r="R76" s="2"/>
      <c r="S76" s="2"/>
    </row>
    <row r="77" ht="19" customHeight="1" spans="1:19" x14ac:dyDescent="0.25">
      <c r="A77" s="4">
        <v>76</v>
      </c>
      <c r="B77" s="4">
        <v>7</v>
      </c>
      <c r="C77" s="3">
        <f>Assumptions!$B$5*Assumptions!$B$32*Assumptions!$B$6*D77</f>
      </c>
      <c r="D77" s="5">
        <f>IF(A77&lt;=3,Assumptions!$B$21,IF(A77&lt;=6,Assumptions!$B$22,IF(A77&lt;=12,Assumptions!$B$23,Assumptions!$B$24)))/100</f>
      </c>
      <c r="E77" s="3">
        <f>Assumptions!$B$5*Assumptions!$B$33*Assumptions!$B$6*D77</f>
      </c>
      <c r="F77" s="3">
        <f>Assumptions!$B$5*Assumptions!$B$7*Assumptions!$B$6*D77</f>
      </c>
      <c r="G77" s="3">
        <f>Assumptions!$B$8</f>
      </c>
      <c r="H77" s="3">
        <f>IF(INDEX(Assumptions!$B$35:$B$47,B77)&lt;&gt;"",INDEX(Assumptions!$B$35:$B$47,B77)/100*Assumptions!$B$2,IF(B77&lt;=Assumptions!$B$17,0,IF(B77&lt;=Assumptions!$B$17+Assumptions!$B$18,Assumptions!$B$19,Assumptions!$B$20)))/12</f>
      </c>
      <c r="I77" s="3">
        <f>IF(Assumptions!$B$12="Cash",0,IF(A77&lt;=Assumptions!$B$15,Monthly!$S$1,0))</f>
      </c>
      <c r="J77" s="3">
        <f>E77-F77-G77-H77-I77</f>
      </c>
      <c r="K77" s="3">
        <f>IF(AND(A77-CEILING(Assumptions!$E$27/30,1)&gt;=1,A77-CEILING(Assumptions!$E$27/30,1)&lt;=156),INDEX($E$2:$E$157,A77-CEILING(Assumptions!$E$27/30,1))*Assumptions!$B$27/100,0)</f>
      </c>
      <c r="L77" s="3">
        <f>IF(AND(A77-CEILING(Assumptions!$E$28/30,1)&gt;=1,A77-CEILING(Assumptions!$E$28/30,1)&lt;=156),INDEX($E$2:$E$157,A77-CEILING(Assumptions!$E$28/30,1))*Assumptions!$B$28/100,0)</f>
      </c>
      <c r="M77" s="3">
        <f>IF(AND(A77-CEILING(Assumptions!$E$29/30,1)&gt;=1,A77-CEILING(Assumptions!$E$29/30,1)&lt;=156),INDEX($E$2:$E$157,A77-CEILING(Assumptions!$E$29/30,1))*Assumptions!$B$29/100,0)</f>
      </c>
      <c r="N77" s="3">
        <f>IF(AND(A77-CEILING(Assumptions!$E$30/30,1)&gt;=1,A77-CEILING(Assumptions!$E$30/30,1)&lt;=156),INDEX($E$2:$E$157,A77-CEILING(Assumptions!$E$30/30,1))*Assumptions!$B$30/100,0)</f>
      </c>
      <c r="O77" s="3">
        <f>IF(AND(A77-CEILING(Assumptions!$E$31/30,1)&gt;=1,A77-CEILING(Assumptions!$E$31/30,1)&lt;=156),INDEX($E$2:$E$157,A77-CEILING(Assumptions!$E$31/30,1))*Assumptions!$B$31/100,0)</f>
      </c>
      <c r="P77" s="3">
        <f>K77+L77+M77+N77+O77</f>
      </c>
      <c r="Q77" s="2"/>
      <c r="R77" s="2"/>
      <c r="S77" s="2"/>
    </row>
    <row r="78" ht="19" customHeight="1" spans="1:19" x14ac:dyDescent="0.25">
      <c r="A78" s="4">
        <v>77</v>
      </c>
      <c r="B78" s="4">
        <v>7</v>
      </c>
      <c r="C78" s="3">
        <f>Assumptions!$B$5*Assumptions!$B$32*Assumptions!$B$6*D78</f>
      </c>
      <c r="D78" s="5">
        <f>IF(A78&lt;=3,Assumptions!$B$21,IF(A78&lt;=6,Assumptions!$B$22,IF(A78&lt;=12,Assumptions!$B$23,Assumptions!$B$24)))/100</f>
      </c>
      <c r="E78" s="3">
        <f>Assumptions!$B$5*Assumptions!$B$33*Assumptions!$B$6*D78</f>
      </c>
      <c r="F78" s="3">
        <f>Assumptions!$B$5*Assumptions!$B$7*Assumptions!$B$6*D78</f>
      </c>
      <c r="G78" s="3">
        <f>Assumptions!$B$8</f>
      </c>
      <c r="H78" s="3">
        <f>IF(INDEX(Assumptions!$B$35:$B$47,B78)&lt;&gt;"",INDEX(Assumptions!$B$35:$B$47,B78)/100*Assumptions!$B$2,IF(B78&lt;=Assumptions!$B$17,0,IF(B78&lt;=Assumptions!$B$17+Assumptions!$B$18,Assumptions!$B$19,Assumptions!$B$20)))/12</f>
      </c>
      <c r="I78" s="3">
        <f>IF(Assumptions!$B$12="Cash",0,IF(A78&lt;=Assumptions!$B$15,Monthly!$S$1,0))</f>
      </c>
      <c r="J78" s="3">
        <f>E78-F78-G78-H78-I78</f>
      </c>
      <c r="K78" s="3">
        <f>IF(AND(A78-CEILING(Assumptions!$E$27/30,1)&gt;=1,A78-CEILING(Assumptions!$E$27/30,1)&lt;=156),INDEX($E$2:$E$157,A78-CEILING(Assumptions!$E$27/30,1))*Assumptions!$B$27/100,0)</f>
      </c>
      <c r="L78" s="3">
        <f>IF(AND(A78-CEILING(Assumptions!$E$28/30,1)&gt;=1,A78-CEILING(Assumptions!$E$28/30,1)&lt;=156),INDEX($E$2:$E$157,A78-CEILING(Assumptions!$E$28/30,1))*Assumptions!$B$28/100,0)</f>
      </c>
      <c r="M78" s="3">
        <f>IF(AND(A78-CEILING(Assumptions!$E$29/30,1)&gt;=1,A78-CEILING(Assumptions!$E$29/30,1)&lt;=156),INDEX($E$2:$E$157,A78-CEILING(Assumptions!$E$29/30,1))*Assumptions!$B$29/100,0)</f>
      </c>
      <c r="N78" s="3">
        <f>IF(AND(A78-CEILING(Assumptions!$E$30/30,1)&gt;=1,A78-CEILING(Assumptions!$E$30/30,1)&lt;=156),INDEX($E$2:$E$157,A78-CEILING(Assumptions!$E$30/30,1))*Assumptions!$B$30/100,0)</f>
      </c>
      <c r="O78" s="3">
        <f>IF(AND(A78-CEILING(Assumptions!$E$31/30,1)&gt;=1,A78-CEILING(Assumptions!$E$31/30,1)&lt;=156),INDEX($E$2:$E$157,A78-CEILING(Assumptions!$E$31/30,1))*Assumptions!$B$31/100,0)</f>
      </c>
      <c r="P78" s="3">
        <f>K78+L78+M78+N78+O78</f>
      </c>
      <c r="Q78" s="2"/>
      <c r="R78" s="2"/>
      <c r="S78" s="2"/>
    </row>
    <row r="79" ht="19" customHeight="1" spans="1:19" x14ac:dyDescent="0.25">
      <c r="A79" s="4">
        <v>78</v>
      </c>
      <c r="B79" s="4">
        <v>7</v>
      </c>
      <c r="C79" s="3">
        <f>Assumptions!$B$5*Assumptions!$B$32*Assumptions!$B$6*D79</f>
      </c>
      <c r="D79" s="5">
        <f>IF(A79&lt;=3,Assumptions!$B$21,IF(A79&lt;=6,Assumptions!$B$22,IF(A79&lt;=12,Assumptions!$B$23,Assumptions!$B$24)))/100</f>
      </c>
      <c r="E79" s="3">
        <f>Assumptions!$B$5*Assumptions!$B$33*Assumptions!$B$6*D79</f>
      </c>
      <c r="F79" s="3">
        <f>Assumptions!$B$5*Assumptions!$B$7*Assumptions!$B$6*D79</f>
      </c>
      <c r="G79" s="3">
        <f>Assumptions!$B$8</f>
      </c>
      <c r="H79" s="3">
        <f>IF(INDEX(Assumptions!$B$35:$B$47,B79)&lt;&gt;"",INDEX(Assumptions!$B$35:$B$47,B79)/100*Assumptions!$B$2,IF(B79&lt;=Assumptions!$B$17,0,IF(B79&lt;=Assumptions!$B$17+Assumptions!$B$18,Assumptions!$B$19,Assumptions!$B$20)))/12</f>
      </c>
      <c r="I79" s="3">
        <f>IF(Assumptions!$B$12="Cash",0,IF(A79&lt;=Assumptions!$B$15,Monthly!$S$1,0))</f>
      </c>
      <c r="J79" s="3">
        <f>E79-F79-G79-H79-I79</f>
      </c>
      <c r="K79" s="3">
        <f>IF(AND(A79-CEILING(Assumptions!$E$27/30,1)&gt;=1,A79-CEILING(Assumptions!$E$27/30,1)&lt;=156),INDEX($E$2:$E$157,A79-CEILING(Assumptions!$E$27/30,1))*Assumptions!$B$27/100,0)</f>
      </c>
      <c r="L79" s="3">
        <f>IF(AND(A79-CEILING(Assumptions!$E$28/30,1)&gt;=1,A79-CEILING(Assumptions!$E$28/30,1)&lt;=156),INDEX($E$2:$E$157,A79-CEILING(Assumptions!$E$28/30,1))*Assumptions!$B$28/100,0)</f>
      </c>
      <c r="M79" s="3">
        <f>IF(AND(A79-CEILING(Assumptions!$E$29/30,1)&gt;=1,A79-CEILING(Assumptions!$E$29/30,1)&lt;=156),INDEX($E$2:$E$157,A79-CEILING(Assumptions!$E$29/30,1))*Assumptions!$B$29/100,0)</f>
      </c>
      <c r="N79" s="3">
        <f>IF(AND(A79-CEILING(Assumptions!$E$30/30,1)&gt;=1,A79-CEILING(Assumptions!$E$30/30,1)&lt;=156),INDEX($E$2:$E$157,A79-CEILING(Assumptions!$E$30/30,1))*Assumptions!$B$30/100,0)</f>
      </c>
      <c r="O79" s="3">
        <f>IF(AND(A79-CEILING(Assumptions!$E$31/30,1)&gt;=1,A79-CEILING(Assumptions!$E$31/30,1)&lt;=156),INDEX($E$2:$E$157,A79-CEILING(Assumptions!$E$31/30,1))*Assumptions!$B$31/100,0)</f>
      </c>
      <c r="P79" s="3">
        <f>K79+L79+M79+N79+O79</f>
      </c>
      <c r="Q79" s="2"/>
      <c r="R79" s="2"/>
      <c r="S79" s="2"/>
    </row>
    <row r="80" ht="19" customHeight="1" spans="1:19" x14ac:dyDescent="0.25">
      <c r="A80" s="4">
        <v>79</v>
      </c>
      <c r="B80" s="4">
        <v>7</v>
      </c>
      <c r="C80" s="3">
        <f>Assumptions!$B$5*Assumptions!$B$32*Assumptions!$B$6*D80</f>
      </c>
      <c r="D80" s="5">
        <f>IF(A80&lt;=3,Assumptions!$B$21,IF(A80&lt;=6,Assumptions!$B$22,IF(A80&lt;=12,Assumptions!$B$23,Assumptions!$B$24)))/100</f>
      </c>
      <c r="E80" s="3">
        <f>Assumptions!$B$5*Assumptions!$B$33*Assumptions!$B$6*D80</f>
      </c>
      <c r="F80" s="3">
        <f>Assumptions!$B$5*Assumptions!$B$7*Assumptions!$B$6*D80</f>
      </c>
      <c r="G80" s="3">
        <f>Assumptions!$B$8</f>
      </c>
      <c r="H80" s="3">
        <f>IF(INDEX(Assumptions!$B$35:$B$47,B80)&lt;&gt;"",INDEX(Assumptions!$B$35:$B$47,B80)/100*Assumptions!$B$2,IF(B80&lt;=Assumptions!$B$17,0,IF(B80&lt;=Assumptions!$B$17+Assumptions!$B$18,Assumptions!$B$19,Assumptions!$B$20)))/12</f>
      </c>
      <c r="I80" s="3">
        <f>IF(Assumptions!$B$12="Cash",0,IF(A80&lt;=Assumptions!$B$15,Monthly!$S$1,0))</f>
      </c>
      <c r="J80" s="3">
        <f>E80-F80-G80-H80-I80</f>
      </c>
      <c r="K80" s="3">
        <f>IF(AND(A80-CEILING(Assumptions!$E$27/30,1)&gt;=1,A80-CEILING(Assumptions!$E$27/30,1)&lt;=156),INDEX($E$2:$E$157,A80-CEILING(Assumptions!$E$27/30,1))*Assumptions!$B$27/100,0)</f>
      </c>
      <c r="L80" s="3">
        <f>IF(AND(A80-CEILING(Assumptions!$E$28/30,1)&gt;=1,A80-CEILING(Assumptions!$E$28/30,1)&lt;=156),INDEX($E$2:$E$157,A80-CEILING(Assumptions!$E$28/30,1))*Assumptions!$B$28/100,0)</f>
      </c>
      <c r="M80" s="3">
        <f>IF(AND(A80-CEILING(Assumptions!$E$29/30,1)&gt;=1,A80-CEILING(Assumptions!$E$29/30,1)&lt;=156),INDEX($E$2:$E$157,A80-CEILING(Assumptions!$E$29/30,1))*Assumptions!$B$29/100,0)</f>
      </c>
      <c r="N80" s="3">
        <f>IF(AND(A80-CEILING(Assumptions!$E$30/30,1)&gt;=1,A80-CEILING(Assumptions!$E$30/30,1)&lt;=156),INDEX($E$2:$E$157,A80-CEILING(Assumptions!$E$30/30,1))*Assumptions!$B$30/100,0)</f>
      </c>
      <c r="O80" s="3">
        <f>IF(AND(A80-CEILING(Assumptions!$E$31/30,1)&gt;=1,A80-CEILING(Assumptions!$E$31/30,1)&lt;=156),INDEX($E$2:$E$157,A80-CEILING(Assumptions!$E$31/30,1))*Assumptions!$B$31/100,0)</f>
      </c>
      <c r="P80" s="3">
        <f>K80+L80+M80+N80+O80</f>
      </c>
      <c r="Q80" s="2"/>
      <c r="R80" s="2"/>
      <c r="S80" s="2"/>
    </row>
    <row r="81" ht="19" customHeight="1" spans="1:19" x14ac:dyDescent="0.25">
      <c r="A81" s="4">
        <v>80</v>
      </c>
      <c r="B81" s="4">
        <v>7</v>
      </c>
      <c r="C81" s="3">
        <f>Assumptions!$B$5*Assumptions!$B$32*Assumptions!$B$6*D81</f>
      </c>
      <c r="D81" s="5">
        <f>IF(A81&lt;=3,Assumptions!$B$21,IF(A81&lt;=6,Assumptions!$B$22,IF(A81&lt;=12,Assumptions!$B$23,Assumptions!$B$24)))/100</f>
      </c>
      <c r="E81" s="3">
        <f>Assumptions!$B$5*Assumptions!$B$33*Assumptions!$B$6*D81</f>
      </c>
      <c r="F81" s="3">
        <f>Assumptions!$B$5*Assumptions!$B$7*Assumptions!$B$6*D81</f>
      </c>
      <c r="G81" s="3">
        <f>Assumptions!$B$8</f>
      </c>
      <c r="H81" s="3">
        <f>IF(INDEX(Assumptions!$B$35:$B$47,B81)&lt;&gt;"",INDEX(Assumptions!$B$35:$B$47,B81)/100*Assumptions!$B$2,IF(B81&lt;=Assumptions!$B$17,0,IF(B81&lt;=Assumptions!$B$17+Assumptions!$B$18,Assumptions!$B$19,Assumptions!$B$20)))/12</f>
      </c>
      <c r="I81" s="3">
        <f>IF(Assumptions!$B$12="Cash",0,IF(A81&lt;=Assumptions!$B$15,Monthly!$S$1,0))</f>
      </c>
      <c r="J81" s="3">
        <f>E81-F81-G81-H81-I81</f>
      </c>
      <c r="K81" s="3">
        <f>IF(AND(A81-CEILING(Assumptions!$E$27/30,1)&gt;=1,A81-CEILING(Assumptions!$E$27/30,1)&lt;=156),INDEX($E$2:$E$157,A81-CEILING(Assumptions!$E$27/30,1))*Assumptions!$B$27/100,0)</f>
      </c>
      <c r="L81" s="3">
        <f>IF(AND(A81-CEILING(Assumptions!$E$28/30,1)&gt;=1,A81-CEILING(Assumptions!$E$28/30,1)&lt;=156),INDEX($E$2:$E$157,A81-CEILING(Assumptions!$E$28/30,1))*Assumptions!$B$28/100,0)</f>
      </c>
      <c r="M81" s="3">
        <f>IF(AND(A81-CEILING(Assumptions!$E$29/30,1)&gt;=1,A81-CEILING(Assumptions!$E$29/30,1)&lt;=156),INDEX($E$2:$E$157,A81-CEILING(Assumptions!$E$29/30,1))*Assumptions!$B$29/100,0)</f>
      </c>
      <c r="N81" s="3">
        <f>IF(AND(A81-CEILING(Assumptions!$E$30/30,1)&gt;=1,A81-CEILING(Assumptions!$E$30/30,1)&lt;=156),INDEX($E$2:$E$157,A81-CEILING(Assumptions!$E$30/30,1))*Assumptions!$B$30/100,0)</f>
      </c>
      <c r="O81" s="3">
        <f>IF(AND(A81-CEILING(Assumptions!$E$31/30,1)&gt;=1,A81-CEILING(Assumptions!$E$31/30,1)&lt;=156),INDEX($E$2:$E$157,A81-CEILING(Assumptions!$E$31/30,1))*Assumptions!$B$31/100,0)</f>
      </c>
      <c r="P81" s="3">
        <f>K81+L81+M81+N81+O81</f>
      </c>
      <c r="Q81" s="2"/>
      <c r="R81" s="2"/>
      <c r="S81" s="2"/>
    </row>
    <row r="82" ht="19" customHeight="1" spans="1:19" x14ac:dyDescent="0.25">
      <c r="A82" s="4">
        <v>81</v>
      </c>
      <c r="B82" s="4">
        <v>7</v>
      </c>
      <c r="C82" s="3">
        <f>Assumptions!$B$5*Assumptions!$B$32*Assumptions!$B$6*D82</f>
      </c>
      <c r="D82" s="5">
        <f>IF(A82&lt;=3,Assumptions!$B$21,IF(A82&lt;=6,Assumptions!$B$22,IF(A82&lt;=12,Assumptions!$B$23,Assumptions!$B$24)))/100</f>
      </c>
      <c r="E82" s="3">
        <f>Assumptions!$B$5*Assumptions!$B$33*Assumptions!$B$6*D82</f>
      </c>
      <c r="F82" s="3">
        <f>Assumptions!$B$5*Assumptions!$B$7*Assumptions!$B$6*D82</f>
      </c>
      <c r="G82" s="3">
        <f>Assumptions!$B$8</f>
      </c>
      <c r="H82" s="3">
        <f>IF(INDEX(Assumptions!$B$35:$B$47,B82)&lt;&gt;"",INDEX(Assumptions!$B$35:$B$47,B82)/100*Assumptions!$B$2,IF(B82&lt;=Assumptions!$B$17,0,IF(B82&lt;=Assumptions!$B$17+Assumptions!$B$18,Assumptions!$B$19,Assumptions!$B$20)))/12</f>
      </c>
      <c r="I82" s="3">
        <f>IF(Assumptions!$B$12="Cash",0,IF(A82&lt;=Assumptions!$B$15,Monthly!$S$1,0))</f>
      </c>
      <c r="J82" s="3">
        <f>E82-F82-G82-H82-I82</f>
      </c>
      <c r="K82" s="3">
        <f>IF(AND(A82-CEILING(Assumptions!$E$27/30,1)&gt;=1,A82-CEILING(Assumptions!$E$27/30,1)&lt;=156),INDEX($E$2:$E$157,A82-CEILING(Assumptions!$E$27/30,1))*Assumptions!$B$27/100,0)</f>
      </c>
      <c r="L82" s="3">
        <f>IF(AND(A82-CEILING(Assumptions!$E$28/30,1)&gt;=1,A82-CEILING(Assumptions!$E$28/30,1)&lt;=156),INDEX($E$2:$E$157,A82-CEILING(Assumptions!$E$28/30,1))*Assumptions!$B$28/100,0)</f>
      </c>
      <c r="M82" s="3">
        <f>IF(AND(A82-CEILING(Assumptions!$E$29/30,1)&gt;=1,A82-CEILING(Assumptions!$E$29/30,1)&lt;=156),INDEX($E$2:$E$157,A82-CEILING(Assumptions!$E$29/30,1))*Assumptions!$B$29/100,0)</f>
      </c>
      <c r="N82" s="3">
        <f>IF(AND(A82-CEILING(Assumptions!$E$30/30,1)&gt;=1,A82-CEILING(Assumptions!$E$30/30,1)&lt;=156),INDEX($E$2:$E$157,A82-CEILING(Assumptions!$E$30/30,1))*Assumptions!$B$30/100,0)</f>
      </c>
      <c r="O82" s="3">
        <f>IF(AND(A82-CEILING(Assumptions!$E$31/30,1)&gt;=1,A82-CEILING(Assumptions!$E$31/30,1)&lt;=156),INDEX($E$2:$E$157,A82-CEILING(Assumptions!$E$31/30,1))*Assumptions!$B$31/100,0)</f>
      </c>
      <c r="P82" s="3">
        <f>K82+L82+M82+N82+O82</f>
      </c>
      <c r="Q82" s="2"/>
      <c r="R82" s="2"/>
      <c r="S82" s="2"/>
    </row>
    <row r="83" ht="19" customHeight="1" spans="1:19" x14ac:dyDescent="0.25">
      <c r="A83" s="4">
        <v>82</v>
      </c>
      <c r="B83" s="4">
        <v>7</v>
      </c>
      <c r="C83" s="3">
        <f>Assumptions!$B$5*Assumptions!$B$32*Assumptions!$B$6*D83</f>
      </c>
      <c r="D83" s="5">
        <f>IF(A83&lt;=3,Assumptions!$B$21,IF(A83&lt;=6,Assumptions!$B$22,IF(A83&lt;=12,Assumptions!$B$23,Assumptions!$B$24)))/100</f>
      </c>
      <c r="E83" s="3">
        <f>Assumptions!$B$5*Assumptions!$B$33*Assumptions!$B$6*D83</f>
      </c>
      <c r="F83" s="3">
        <f>Assumptions!$B$5*Assumptions!$B$7*Assumptions!$B$6*D83</f>
      </c>
      <c r="G83" s="3">
        <f>Assumptions!$B$8</f>
      </c>
      <c r="H83" s="3">
        <f>IF(INDEX(Assumptions!$B$35:$B$47,B83)&lt;&gt;"",INDEX(Assumptions!$B$35:$B$47,B83)/100*Assumptions!$B$2,IF(B83&lt;=Assumptions!$B$17,0,IF(B83&lt;=Assumptions!$B$17+Assumptions!$B$18,Assumptions!$B$19,Assumptions!$B$20)))/12</f>
      </c>
      <c r="I83" s="3">
        <f>IF(Assumptions!$B$12="Cash",0,IF(A83&lt;=Assumptions!$B$15,Monthly!$S$1,0))</f>
      </c>
      <c r="J83" s="3">
        <f>E83-F83-G83-H83-I83</f>
      </c>
      <c r="K83" s="3">
        <f>IF(AND(A83-CEILING(Assumptions!$E$27/30,1)&gt;=1,A83-CEILING(Assumptions!$E$27/30,1)&lt;=156),INDEX($E$2:$E$157,A83-CEILING(Assumptions!$E$27/30,1))*Assumptions!$B$27/100,0)</f>
      </c>
      <c r="L83" s="3">
        <f>IF(AND(A83-CEILING(Assumptions!$E$28/30,1)&gt;=1,A83-CEILING(Assumptions!$E$28/30,1)&lt;=156),INDEX($E$2:$E$157,A83-CEILING(Assumptions!$E$28/30,1))*Assumptions!$B$28/100,0)</f>
      </c>
      <c r="M83" s="3">
        <f>IF(AND(A83-CEILING(Assumptions!$E$29/30,1)&gt;=1,A83-CEILING(Assumptions!$E$29/30,1)&lt;=156),INDEX($E$2:$E$157,A83-CEILING(Assumptions!$E$29/30,1))*Assumptions!$B$29/100,0)</f>
      </c>
      <c r="N83" s="3">
        <f>IF(AND(A83-CEILING(Assumptions!$E$30/30,1)&gt;=1,A83-CEILING(Assumptions!$E$30/30,1)&lt;=156),INDEX($E$2:$E$157,A83-CEILING(Assumptions!$E$30/30,1))*Assumptions!$B$30/100,0)</f>
      </c>
      <c r="O83" s="3">
        <f>IF(AND(A83-CEILING(Assumptions!$E$31/30,1)&gt;=1,A83-CEILING(Assumptions!$E$31/30,1)&lt;=156),INDEX($E$2:$E$157,A83-CEILING(Assumptions!$E$31/30,1))*Assumptions!$B$31/100,0)</f>
      </c>
      <c r="P83" s="3">
        <f>K83+L83+M83+N83+O83</f>
      </c>
      <c r="Q83" s="2"/>
      <c r="R83" s="2"/>
      <c r="S83" s="2"/>
    </row>
    <row r="84" ht="19" customHeight="1" spans="1:19" x14ac:dyDescent="0.25">
      <c r="A84" s="4">
        <v>83</v>
      </c>
      <c r="B84" s="4">
        <v>7</v>
      </c>
      <c r="C84" s="3">
        <f>Assumptions!$B$5*Assumptions!$B$32*Assumptions!$B$6*D84</f>
      </c>
      <c r="D84" s="5">
        <f>IF(A84&lt;=3,Assumptions!$B$21,IF(A84&lt;=6,Assumptions!$B$22,IF(A84&lt;=12,Assumptions!$B$23,Assumptions!$B$24)))/100</f>
      </c>
      <c r="E84" s="3">
        <f>Assumptions!$B$5*Assumptions!$B$33*Assumptions!$B$6*D84</f>
      </c>
      <c r="F84" s="3">
        <f>Assumptions!$B$5*Assumptions!$B$7*Assumptions!$B$6*D84</f>
      </c>
      <c r="G84" s="3">
        <f>Assumptions!$B$8</f>
      </c>
      <c r="H84" s="3">
        <f>IF(INDEX(Assumptions!$B$35:$B$47,B84)&lt;&gt;"",INDEX(Assumptions!$B$35:$B$47,B84)/100*Assumptions!$B$2,IF(B84&lt;=Assumptions!$B$17,0,IF(B84&lt;=Assumptions!$B$17+Assumptions!$B$18,Assumptions!$B$19,Assumptions!$B$20)))/12</f>
      </c>
      <c r="I84" s="3">
        <f>IF(Assumptions!$B$12="Cash",0,IF(A84&lt;=Assumptions!$B$15,Monthly!$S$1,0))</f>
      </c>
      <c r="J84" s="3">
        <f>E84-F84-G84-H84-I84</f>
      </c>
      <c r="K84" s="3">
        <f>IF(AND(A84-CEILING(Assumptions!$E$27/30,1)&gt;=1,A84-CEILING(Assumptions!$E$27/30,1)&lt;=156),INDEX($E$2:$E$157,A84-CEILING(Assumptions!$E$27/30,1))*Assumptions!$B$27/100,0)</f>
      </c>
      <c r="L84" s="3">
        <f>IF(AND(A84-CEILING(Assumptions!$E$28/30,1)&gt;=1,A84-CEILING(Assumptions!$E$28/30,1)&lt;=156),INDEX($E$2:$E$157,A84-CEILING(Assumptions!$E$28/30,1))*Assumptions!$B$28/100,0)</f>
      </c>
      <c r="M84" s="3">
        <f>IF(AND(A84-CEILING(Assumptions!$E$29/30,1)&gt;=1,A84-CEILING(Assumptions!$E$29/30,1)&lt;=156),INDEX($E$2:$E$157,A84-CEILING(Assumptions!$E$29/30,1))*Assumptions!$B$29/100,0)</f>
      </c>
      <c r="N84" s="3">
        <f>IF(AND(A84-CEILING(Assumptions!$E$30/30,1)&gt;=1,A84-CEILING(Assumptions!$E$30/30,1)&lt;=156),INDEX($E$2:$E$157,A84-CEILING(Assumptions!$E$30/30,1))*Assumptions!$B$30/100,0)</f>
      </c>
      <c r="O84" s="3">
        <f>IF(AND(A84-CEILING(Assumptions!$E$31/30,1)&gt;=1,A84-CEILING(Assumptions!$E$31/30,1)&lt;=156),INDEX($E$2:$E$157,A84-CEILING(Assumptions!$E$31/30,1))*Assumptions!$B$31/100,0)</f>
      </c>
      <c r="P84" s="3">
        <f>K84+L84+M84+N84+O84</f>
      </c>
      <c r="Q84" s="2"/>
      <c r="R84" s="2"/>
      <c r="S84" s="2"/>
    </row>
    <row r="85" ht="19" customHeight="1" spans="1:19" x14ac:dyDescent="0.25">
      <c r="A85" s="4">
        <v>84</v>
      </c>
      <c r="B85" s="4">
        <v>7</v>
      </c>
      <c r="C85" s="3">
        <f>Assumptions!$B$5*Assumptions!$B$32*Assumptions!$B$6*D85</f>
      </c>
      <c r="D85" s="5">
        <f>IF(A85&lt;=3,Assumptions!$B$21,IF(A85&lt;=6,Assumptions!$B$22,IF(A85&lt;=12,Assumptions!$B$23,Assumptions!$B$24)))/100</f>
      </c>
      <c r="E85" s="3">
        <f>Assumptions!$B$5*Assumptions!$B$33*Assumptions!$B$6*D85</f>
      </c>
      <c r="F85" s="3">
        <f>Assumptions!$B$5*Assumptions!$B$7*Assumptions!$B$6*D85</f>
      </c>
      <c r="G85" s="3">
        <f>Assumptions!$B$8</f>
      </c>
      <c r="H85" s="3">
        <f>IF(INDEX(Assumptions!$B$35:$B$47,B85)&lt;&gt;"",INDEX(Assumptions!$B$35:$B$47,B85)/100*Assumptions!$B$2,IF(B85&lt;=Assumptions!$B$17,0,IF(B85&lt;=Assumptions!$B$17+Assumptions!$B$18,Assumptions!$B$19,Assumptions!$B$20)))/12</f>
      </c>
      <c r="I85" s="3">
        <f>IF(Assumptions!$B$12="Cash",0,IF(A85&lt;=Assumptions!$B$15,Monthly!$S$1,0))</f>
      </c>
      <c r="J85" s="3">
        <f>E85-F85-G85-H85-I85</f>
      </c>
      <c r="K85" s="3">
        <f>IF(AND(A85-CEILING(Assumptions!$E$27/30,1)&gt;=1,A85-CEILING(Assumptions!$E$27/30,1)&lt;=156),INDEX($E$2:$E$157,A85-CEILING(Assumptions!$E$27/30,1))*Assumptions!$B$27/100,0)</f>
      </c>
      <c r="L85" s="3">
        <f>IF(AND(A85-CEILING(Assumptions!$E$28/30,1)&gt;=1,A85-CEILING(Assumptions!$E$28/30,1)&lt;=156),INDEX($E$2:$E$157,A85-CEILING(Assumptions!$E$28/30,1))*Assumptions!$B$28/100,0)</f>
      </c>
      <c r="M85" s="3">
        <f>IF(AND(A85-CEILING(Assumptions!$E$29/30,1)&gt;=1,A85-CEILING(Assumptions!$E$29/30,1)&lt;=156),INDEX($E$2:$E$157,A85-CEILING(Assumptions!$E$29/30,1))*Assumptions!$B$29/100,0)</f>
      </c>
      <c r="N85" s="3">
        <f>IF(AND(A85-CEILING(Assumptions!$E$30/30,1)&gt;=1,A85-CEILING(Assumptions!$E$30/30,1)&lt;=156),INDEX($E$2:$E$157,A85-CEILING(Assumptions!$E$30/30,1))*Assumptions!$B$30/100,0)</f>
      </c>
      <c r="O85" s="3">
        <f>IF(AND(A85-CEILING(Assumptions!$E$31/30,1)&gt;=1,A85-CEILING(Assumptions!$E$31/30,1)&lt;=156),INDEX($E$2:$E$157,A85-CEILING(Assumptions!$E$31/30,1))*Assumptions!$B$31/100,0)</f>
      </c>
      <c r="P85" s="3">
        <f>K85+L85+M85+N85+O85</f>
      </c>
      <c r="Q85" s="2"/>
      <c r="R85" s="2"/>
      <c r="S85" s="2"/>
    </row>
    <row r="86" ht="19" customHeight="1" spans="1:19" x14ac:dyDescent="0.25">
      <c r="A86" s="4">
        <v>85</v>
      </c>
      <c r="B86" s="4">
        <v>8</v>
      </c>
      <c r="C86" s="3">
        <f>Assumptions!$B$5*Assumptions!$B$32*Assumptions!$B$6*D86</f>
      </c>
      <c r="D86" s="5">
        <f>IF(A86&lt;=3,Assumptions!$B$21,IF(A86&lt;=6,Assumptions!$B$22,IF(A86&lt;=12,Assumptions!$B$23,Assumptions!$B$24)))/100</f>
      </c>
      <c r="E86" s="3">
        <f>Assumptions!$B$5*Assumptions!$B$33*Assumptions!$B$6*D86</f>
      </c>
      <c r="F86" s="3">
        <f>Assumptions!$B$5*Assumptions!$B$7*Assumptions!$B$6*D86</f>
      </c>
      <c r="G86" s="3">
        <f>Assumptions!$B$8</f>
      </c>
      <c r="H86" s="3">
        <f>IF(INDEX(Assumptions!$B$35:$B$47,B86)&lt;&gt;"",INDEX(Assumptions!$B$35:$B$47,B86)/100*Assumptions!$B$2,IF(B86&lt;=Assumptions!$B$17,0,IF(B86&lt;=Assumptions!$B$17+Assumptions!$B$18,Assumptions!$B$19,Assumptions!$B$20)))/12</f>
      </c>
      <c r="I86" s="3">
        <f>IF(Assumptions!$B$12="Cash",0,IF(A86&lt;=Assumptions!$B$15,Monthly!$S$1,0))</f>
      </c>
      <c r="J86" s="3">
        <f>E86-F86-G86-H86-I86</f>
      </c>
      <c r="K86" s="3">
        <f>IF(AND(A86-CEILING(Assumptions!$E$27/30,1)&gt;=1,A86-CEILING(Assumptions!$E$27/30,1)&lt;=156),INDEX($E$2:$E$157,A86-CEILING(Assumptions!$E$27/30,1))*Assumptions!$B$27/100,0)</f>
      </c>
      <c r="L86" s="3">
        <f>IF(AND(A86-CEILING(Assumptions!$E$28/30,1)&gt;=1,A86-CEILING(Assumptions!$E$28/30,1)&lt;=156),INDEX($E$2:$E$157,A86-CEILING(Assumptions!$E$28/30,1))*Assumptions!$B$28/100,0)</f>
      </c>
      <c r="M86" s="3">
        <f>IF(AND(A86-CEILING(Assumptions!$E$29/30,1)&gt;=1,A86-CEILING(Assumptions!$E$29/30,1)&lt;=156),INDEX($E$2:$E$157,A86-CEILING(Assumptions!$E$29/30,1))*Assumptions!$B$29/100,0)</f>
      </c>
      <c r="N86" s="3">
        <f>IF(AND(A86-CEILING(Assumptions!$E$30/30,1)&gt;=1,A86-CEILING(Assumptions!$E$30/30,1)&lt;=156),INDEX($E$2:$E$157,A86-CEILING(Assumptions!$E$30/30,1))*Assumptions!$B$30/100,0)</f>
      </c>
      <c r="O86" s="3">
        <f>IF(AND(A86-CEILING(Assumptions!$E$31/30,1)&gt;=1,A86-CEILING(Assumptions!$E$31/30,1)&lt;=156),INDEX($E$2:$E$157,A86-CEILING(Assumptions!$E$31/30,1))*Assumptions!$B$31/100,0)</f>
      </c>
      <c r="P86" s="3">
        <f>K86+L86+M86+N86+O86</f>
      </c>
      <c r="Q86" s="2"/>
      <c r="R86" s="2"/>
      <c r="S86" s="2"/>
    </row>
    <row r="87" ht="19" customHeight="1" spans="1:19" x14ac:dyDescent="0.25">
      <c r="A87" s="4">
        <v>86</v>
      </c>
      <c r="B87" s="4">
        <v>8</v>
      </c>
      <c r="C87" s="3">
        <f>Assumptions!$B$5*Assumptions!$B$32*Assumptions!$B$6*D87</f>
      </c>
      <c r="D87" s="5">
        <f>IF(A87&lt;=3,Assumptions!$B$21,IF(A87&lt;=6,Assumptions!$B$22,IF(A87&lt;=12,Assumptions!$B$23,Assumptions!$B$24)))/100</f>
      </c>
      <c r="E87" s="3">
        <f>Assumptions!$B$5*Assumptions!$B$33*Assumptions!$B$6*D87</f>
      </c>
      <c r="F87" s="3">
        <f>Assumptions!$B$5*Assumptions!$B$7*Assumptions!$B$6*D87</f>
      </c>
      <c r="G87" s="3">
        <f>Assumptions!$B$8</f>
      </c>
      <c r="H87" s="3">
        <f>IF(INDEX(Assumptions!$B$35:$B$47,B87)&lt;&gt;"",INDEX(Assumptions!$B$35:$B$47,B87)/100*Assumptions!$B$2,IF(B87&lt;=Assumptions!$B$17,0,IF(B87&lt;=Assumptions!$B$17+Assumptions!$B$18,Assumptions!$B$19,Assumptions!$B$20)))/12</f>
      </c>
      <c r="I87" s="3">
        <f>IF(Assumptions!$B$12="Cash",0,IF(A87&lt;=Assumptions!$B$15,Monthly!$S$1,0))</f>
      </c>
      <c r="J87" s="3">
        <f>E87-F87-G87-H87-I87</f>
      </c>
      <c r="K87" s="3">
        <f>IF(AND(A87-CEILING(Assumptions!$E$27/30,1)&gt;=1,A87-CEILING(Assumptions!$E$27/30,1)&lt;=156),INDEX($E$2:$E$157,A87-CEILING(Assumptions!$E$27/30,1))*Assumptions!$B$27/100,0)</f>
      </c>
      <c r="L87" s="3">
        <f>IF(AND(A87-CEILING(Assumptions!$E$28/30,1)&gt;=1,A87-CEILING(Assumptions!$E$28/30,1)&lt;=156),INDEX($E$2:$E$157,A87-CEILING(Assumptions!$E$28/30,1))*Assumptions!$B$28/100,0)</f>
      </c>
      <c r="M87" s="3">
        <f>IF(AND(A87-CEILING(Assumptions!$E$29/30,1)&gt;=1,A87-CEILING(Assumptions!$E$29/30,1)&lt;=156),INDEX($E$2:$E$157,A87-CEILING(Assumptions!$E$29/30,1))*Assumptions!$B$29/100,0)</f>
      </c>
      <c r="N87" s="3">
        <f>IF(AND(A87-CEILING(Assumptions!$E$30/30,1)&gt;=1,A87-CEILING(Assumptions!$E$30/30,1)&lt;=156),INDEX($E$2:$E$157,A87-CEILING(Assumptions!$E$30/30,1))*Assumptions!$B$30/100,0)</f>
      </c>
      <c r="O87" s="3">
        <f>IF(AND(A87-CEILING(Assumptions!$E$31/30,1)&gt;=1,A87-CEILING(Assumptions!$E$31/30,1)&lt;=156),INDEX($E$2:$E$157,A87-CEILING(Assumptions!$E$31/30,1))*Assumptions!$B$31/100,0)</f>
      </c>
      <c r="P87" s="3">
        <f>K87+L87+M87+N87+O87</f>
      </c>
      <c r="Q87" s="2"/>
      <c r="R87" s="2"/>
      <c r="S87" s="2"/>
    </row>
    <row r="88" ht="19" customHeight="1" spans="1:19" x14ac:dyDescent="0.25">
      <c r="A88" s="4">
        <v>87</v>
      </c>
      <c r="B88" s="4">
        <v>8</v>
      </c>
      <c r="C88" s="3">
        <f>Assumptions!$B$5*Assumptions!$B$32*Assumptions!$B$6*D88</f>
      </c>
      <c r="D88" s="5">
        <f>IF(A88&lt;=3,Assumptions!$B$21,IF(A88&lt;=6,Assumptions!$B$22,IF(A88&lt;=12,Assumptions!$B$23,Assumptions!$B$24)))/100</f>
      </c>
      <c r="E88" s="3">
        <f>Assumptions!$B$5*Assumptions!$B$33*Assumptions!$B$6*D88</f>
      </c>
      <c r="F88" s="3">
        <f>Assumptions!$B$5*Assumptions!$B$7*Assumptions!$B$6*D88</f>
      </c>
      <c r="G88" s="3">
        <f>Assumptions!$B$8</f>
      </c>
      <c r="H88" s="3">
        <f>IF(INDEX(Assumptions!$B$35:$B$47,B88)&lt;&gt;"",INDEX(Assumptions!$B$35:$B$47,B88)/100*Assumptions!$B$2,IF(B88&lt;=Assumptions!$B$17,0,IF(B88&lt;=Assumptions!$B$17+Assumptions!$B$18,Assumptions!$B$19,Assumptions!$B$20)))/12</f>
      </c>
      <c r="I88" s="3">
        <f>IF(Assumptions!$B$12="Cash",0,IF(A88&lt;=Assumptions!$B$15,Monthly!$S$1,0))</f>
      </c>
      <c r="J88" s="3">
        <f>E88-F88-G88-H88-I88</f>
      </c>
      <c r="K88" s="3">
        <f>IF(AND(A88-CEILING(Assumptions!$E$27/30,1)&gt;=1,A88-CEILING(Assumptions!$E$27/30,1)&lt;=156),INDEX($E$2:$E$157,A88-CEILING(Assumptions!$E$27/30,1))*Assumptions!$B$27/100,0)</f>
      </c>
      <c r="L88" s="3">
        <f>IF(AND(A88-CEILING(Assumptions!$E$28/30,1)&gt;=1,A88-CEILING(Assumptions!$E$28/30,1)&lt;=156),INDEX($E$2:$E$157,A88-CEILING(Assumptions!$E$28/30,1))*Assumptions!$B$28/100,0)</f>
      </c>
      <c r="M88" s="3">
        <f>IF(AND(A88-CEILING(Assumptions!$E$29/30,1)&gt;=1,A88-CEILING(Assumptions!$E$29/30,1)&lt;=156),INDEX($E$2:$E$157,A88-CEILING(Assumptions!$E$29/30,1))*Assumptions!$B$29/100,0)</f>
      </c>
      <c r="N88" s="3">
        <f>IF(AND(A88-CEILING(Assumptions!$E$30/30,1)&gt;=1,A88-CEILING(Assumptions!$E$30/30,1)&lt;=156),INDEX($E$2:$E$157,A88-CEILING(Assumptions!$E$30/30,1))*Assumptions!$B$30/100,0)</f>
      </c>
      <c r="O88" s="3">
        <f>IF(AND(A88-CEILING(Assumptions!$E$31/30,1)&gt;=1,A88-CEILING(Assumptions!$E$31/30,1)&lt;=156),INDEX($E$2:$E$157,A88-CEILING(Assumptions!$E$31/30,1))*Assumptions!$B$31/100,0)</f>
      </c>
      <c r="P88" s="3">
        <f>K88+L88+M88+N88+O88</f>
      </c>
      <c r="Q88" s="2"/>
      <c r="R88" s="2"/>
      <c r="S88" s="2"/>
    </row>
    <row r="89" ht="19" customHeight="1" spans="1:19" x14ac:dyDescent="0.25">
      <c r="A89" s="4">
        <v>88</v>
      </c>
      <c r="B89" s="4">
        <v>8</v>
      </c>
      <c r="C89" s="3">
        <f>Assumptions!$B$5*Assumptions!$B$32*Assumptions!$B$6*D89</f>
      </c>
      <c r="D89" s="5">
        <f>IF(A89&lt;=3,Assumptions!$B$21,IF(A89&lt;=6,Assumptions!$B$22,IF(A89&lt;=12,Assumptions!$B$23,Assumptions!$B$24)))/100</f>
      </c>
      <c r="E89" s="3">
        <f>Assumptions!$B$5*Assumptions!$B$33*Assumptions!$B$6*D89</f>
      </c>
      <c r="F89" s="3">
        <f>Assumptions!$B$5*Assumptions!$B$7*Assumptions!$B$6*D89</f>
      </c>
      <c r="G89" s="3">
        <f>Assumptions!$B$8</f>
      </c>
      <c r="H89" s="3">
        <f>IF(INDEX(Assumptions!$B$35:$B$47,B89)&lt;&gt;"",INDEX(Assumptions!$B$35:$B$47,B89)/100*Assumptions!$B$2,IF(B89&lt;=Assumptions!$B$17,0,IF(B89&lt;=Assumptions!$B$17+Assumptions!$B$18,Assumptions!$B$19,Assumptions!$B$20)))/12</f>
      </c>
      <c r="I89" s="3">
        <f>IF(Assumptions!$B$12="Cash",0,IF(A89&lt;=Assumptions!$B$15,Monthly!$S$1,0))</f>
      </c>
      <c r="J89" s="3">
        <f>E89-F89-G89-H89-I89</f>
      </c>
      <c r="K89" s="3">
        <f>IF(AND(A89-CEILING(Assumptions!$E$27/30,1)&gt;=1,A89-CEILING(Assumptions!$E$27/30,1)&lt;=156),INDEX($E$2:$E$157,A89-CEILING(Assumptions!$E$27/30,1))*Assumptions!$B$27/100,0)</f>
      </c>
      <c r="L89" s="3">
        <f>IF(AND(A89-CEILING(Assumptions!$E$28/30,1)&gt;=1,A89-CEILING(Assumptions!$E$28/30,1)&lt;=156),INDEX($E$2:$E$157,A89-CEILING(Assumptions!$E$28/30,1))*Assumptions!$B$28/100,0)</f>
      </c>
      <c r="M89" s="3">
        <f>IF(AND(A89-CEILING(Assumptions!$E$29/30,1)&gt;=1,A89-CEILING(Assumptions!$E$29/30,1)&lt;=156),INDEX($E$2:$E$157,A89-CEILING(Assumptions!$E$29/30,1))*Assumptions!$B$29/100,0)</f>
      </c>
      <c r="N89" s="3">
        <f>IF(AND(A89-CEILING(Assumptions!$E$30/30,1)&gt;=1,A89-CEILING(Assumptions!$E$30/30,1)&lt;=156),INDEX($E$2:$E$157,A89-CEILING(Assumptions!$E$30/30,1))*Assumptions!$B$30/100,0)</f>
      </c>
      <c r="O89" s="3">
        <f>IF(AND(A89-CEILING(Assumptions!$E$31/30,1)&gt;=1,A89-CEILING(Assumptions!$E$31/30,1)&lt;=156),INDEX($E$2:$E$157,A89-CEILING(Assumptions!$E$31/30,1))*Assumptions!$B$31/100,0)</f>
      </c>
      <c r="P89" s="3">
        <f>K89+L89+M89+N89+O89</f>
      </c>
      <c r="Q89" s="2"/>
      <c r="R89" s="2"/>
      <c r="S89" s="2"/>
    </row>
    <row r="90" ht="19" customHeight="1" spans="1:19" x14ac:dyDescent="0.25">
      <c r="A90" s="4">
        <v>89</v>
      </c>
      <c r="B90" s="4">
        <v>8</v>
      </c>
      <c r="C90" s="3">
        <f>Assumptions!$B$5*Assumptions!$B$32*Assumptions!$B$6*D90</f>
      </c>
      <c r="D90" s="5">
        <f>IF(A90&lt;=3,Assumptions!$B$21,IF(A90&lt;=6,Assumptions!$B$22,IF(A90&lt;=12,Assumptions!$B$23,Assumptions!$B$24)))/100</f>
      </c>
      <c r="E90" s="3">
        <f>Assumptions!$B$5*Assumptions!$B$33*Assumptions!$B$6*D90</f>
      </c>
      <c r="F90" s="3">
        <f>Assumptions!$B$5*Assumptions!$B$7*Assumptions!$B$6*D90</f>
      </c>
      <c r="G90" s="3">
        <f>Assumptions!$B$8</f>
      </c>
      <c r="H90" s="3">
        <f>IF(INDEX(Assumptions!$B$35:$B$47,B90)&lt;&gt;"",INDEX(Assumptions!$B$35:$B$47,B90)/100*Assumptions!$B$2,IF(B90&lt;=Assumptions!$B$17,0,IF(B90&lt;=Assumptions!$B$17+Assumptions!$B$18,Assumptions!$B$19,Assumptions!$B$20)))/12</f>
      </c>
      <c r="I90" s="3">
        <f>IF(Assumptions!$B$12="Cash",0,IF(A90&lt;=Assumptions!$B$15,Monthly!$S$1,0))</f>
      </c>
      <c r="J90" s="3">
        <f>E90-F90-G90-H90-I90</f>
      </c>
      <c r="K90" s="3">
        <f>IF(AND(A90-CEILING(Assumptions!$E$27/30,1)&gt;=1,A90-CEILING(Assumptions!$E$27/30,1)&lt;=156),INDEX($E$2:$E$157,A90-CEILING(Assumptions!$E$27/30,1))*Assumptions!$B$27/100,0)</f>
      </c>
      <c r="L90" s="3">
        <f>IF(AND(A90-CEILING(Assumptions!$E$28/30,1)&gt;=1,A90-CEILING(Assumptions!$E$28/30,1)&lt;=156),INDEX($E$2:$E$157,A90-CEILING(Assumptions!$E$28/30,1))*Assumptions!$B$28/100,0)</f>
      </c>
      <c r="M90" s="3">
        <f>IF(AND(A90-CEILING(Assumptions!$E$29/30,1)&gt;=1,A90-CEILING(Assumptions!$E$29/30,1)&lt;=156),INDEX($E$2:$E$157,A90-CEILING(Assumptions!$E$29/30,1))*Assumptions!$B$29/100,0)</f>
      </c>
      <c r="N90" s="3">
        <f>IF(AND(A90-CEILING(Assumptions!$E$30/30,1)&gt;=1,A90-CEILING(Assumptions!$E$30/30,1)&lt;=156),INDEX($E$2:$E$157,A90-CEILING(Assumptions!$E$30/30,1))*Assumptions!$B$30/100,0)</f>
      </c>
      <c r="O90" s="3">
        <f>IF(AND(A90-CEILING(Assumptions!$E$31/30,1)&gt;=1,A90-CEILING(Assumptions!$E$31/30,1)&lt;=156),INDEX($E$2:$E$157,A90-CEILING(Assumptions!$E$31/30,1))*Assumptions!$B$31/100,0)</f>
      </c>
      <c r="P90" s="3">
        <f>K90+L90+M90+N90+O90</f>
      </c>
      <c r="Q90" s="2"/>
      <c r="R90" s="2"/>
      <c r="S90" s="2"/>
    </row>
    <row r="91" ht="19" customHeight="1" spans="1:19" x14ac:dyDescent="0.25">
      <c r="A91" s="4">
        <v>90</v>
      </c>
      <c r="B91" s="4">
        <v>8</v>
      </c>
      <c r="C91" s="3">
        <f>Assumptions!$B$5*Assumptions!$B$32*Assumptions!$B$6*D91</f>
      </c>
      <c r="D91" s="5">
        <f>IF(A91&lt;=3,Assumptions!$B$21,IF(A91&lt;=6,Assumptions!$B$22,IF(A91&lt;=12,Assumptions!$B$23,Assumptions!$B$24)))/100</f>
      </c>
      <c r="E91" s="3">
        <f>Assumptions!$B$5*Assumptions!$B$33*Assumptions!$B$6*D91</f>
      </c>
      <c r="F91" s="3">
        <f>Assumptions!$B$5*Assumptions!$B$7*Assumptions!$B$6*D91</f>
      </c>
      <c r="G91" s="3">
        <f>Assumptions!$B$8</f>
      </c>
      <c r="H91" s="3">
        <f>IF(INDEX(Assumptions!$B$35:$B$47,B91)&lt;&gt;"",INDEX(Assumptions!$B$35:$B$47,B91)/100*Assumptions!$B$2,IF(B91&lt;=Assumptions!$B$17,0,IF(B91&lt;=Assumptions!$B$17+Assumptions!$B$18,Assumptions!$B$19,Assumptions!$B$20)))/12</f>
      </c>
      <c r="I91" s="3">
        <f>IF(Assumptions!$B$12="Cash",0,IF(A91&lt;=Assumptions!$B$15,Monthly!$S$1,0))</f>
      </c>
      <c r="J91" s="3">
        <f>E91-F91-G91-H91-I91</f>
      </c>
      <c r="K91" s="3">
        <f>IF(AND(A91-CEILING(Assumptions!$E$27/30,1)&gt;=1,A91-CEILING(Assumptions!$E$27/30,1)&lt;=156),INDEX($E$2:$E$157,A91-CEILING(Assumptions!$E$27/30,1))*Assumptions!$B$27/100,0)</f>
      </c>
      <c r="L91" s="3">
        <f>IF(AND(A91-CEILING(Assumptions!$E$28/30,1)&gt;=1,A91-CEILING(Assumptions!$E$28/30,1)&lt;=156),INDEX($E$2:$E$157,A91-CEILING(Assumptions!$E$28/30,1))*Assumptions!$B$28/100,0)</f>
      </c>
      <c r="M91" s="3">
        <f>IF(AND(A91-CEILING(Assumptions!$E$29/30,1)&gt;=1,A91-CEILING(Assumptions!$E$29/30,1)&lt;=156),INDEX($E$2:$E$157,A91-CEILING(Assumptions!$E$29/30,1))*Assumptions!$B$29/100,0)</f>
      </c>
      <c r="N91" s="3">
        <f>IF(AND(A91-CEILING(Assumptions!$E$30/30,1)&gt;=1,A91-CEILING(Assumptions!$E$30/30,1)&lt;=156),INDEX($E$2:$E$157,A91-CEILING(Assumptions!$E$30/30,1))*Assumptions!$B$30/100,0)</f>
      </c>
      <c r="O91" s="3">
        <f>IF(AND(A91-CEILING(Assumptions!$E$31/30,1)&gt;=1,A91-CEILING(Assumptions!$E$31/30,1)&lt;=156),INDEX($E$2:$E$157,A91-CEILING(Assumptions!$E$31/30,1))*Assumptions!$B$31/100,0)</f>
      </c>
      <c r="P91" s="3">
        <f>K91+L91+M91+N91+O91</f>
      </c>
      <c r="Q91" s="2"/>
      <c r="R91" s="2"/>
      <c r="S91" s="2"/>
    </row>
    <row r="92" ht="19" customHeight="1" spans="1:19" x14ac:dyDescent="0.25">
      <c r="A92" s="4">
        <v>91</v>
      </c>
      <c r="B92" s="4">
        <v>8</v>
      </c>
      <c r="C92" s="3">
        <f>Assumptions!$B$5*Assumptions!$B$32*Assumptions!$B$6*D92</f>
      </c>
      <c r="D92" s="5">
        <f>IF(A92&lt;=3,Assumptions!$B$21,IF(A92&lt;=6,Assumptions!$B$22,IF(A92&lt;=12,Assumptions!$B$23,Assumptions!$B$24)))/100</f>
      </c>
      <c r="E92" s="3">
        <f>Assumptions!$B$5*Assumptions!$B$33*Assumptions!$B$6*D92</f>
      </c>
      <c r="F92" s="3">
        <f>Assumptions!$B$5*Assumptions!$B$7*Assumptions!$B$6*D92</f>
      </c>
      <c r="G92" s="3">
        <f>Assumptions!$B$8</f>
      </c>
      <c r="H92" s="3">
        <f>IF(INDEX(Assumptions!$B$35:$B$47,B92)&lt;&gt;"",INDEX(Assumptions!$B$35:$B$47,B92)/100*Assumptions!$B$2,IF(B92&lt;=Assumptions!$B$17,0,IF(B92&lt;=Assumptions!$B$17+Assumptions!$B$18,Assumptions!$B$19,Assumptions!$B$20)))/12</f>
      </c>
      <c r="I92" s="3">
        <f>IF(Assumptions!$B$12="Cash",0,IF(A92&lt;=Assumptions!$B$15,Monthly!$S$1,0))</f>
      </c>
      <c r="J92" s="3">
        <f>E92-F92-G92-H92-I92</f>
      </c>
      <c r="K92" s="3">
        <f>IF(AND(A92-CEILING(Assumptions!$E$27/30,1)&gt;=1,A92-CEILING(Assumptions!$E$27/30,1)&lt;=156),INDEX($E$2:$E$157,A92-CEILING(Assumptions!$E$27/30,1))*Assumptions!$B$27/100,0)</f>
      </c>
      <c r="L92" s="3">
        <f>IF(AND(A92-CEILING(Assumptions!$E$28/30,1)&gt;=1,A92-CEILING(Assumptions!$E$28/30,1)&lt;=156),INDEX($E$2:$E$157,A92-CEILING(Assumptions!$E$28/30,1))*Assumptions!$B$28/100,0)</f>
      </c>
      <c r="M92" s="3">
        <f>IF(AND(A92-CEILING(Assumptions!$E$29/30,1)&gt;=1,A92-CEILING(Assumptions!$E$29/30,1)&lt;=156),INDEX($E$2:$E$157,A92-CEILING(Assumptions!$E$29/30,1))*Assumptions!$B$29/100,0)</f>
      </c>
      <c r="N92" s="3">
        <f>IF(AND(A92-CEILING(Assumptions!$E$30/30,1)&gt;=1,A92-CEILING(Assumptions!$E$30/30,1)&lt;=156),INDEX($E$2:$E$157,A92-CEILING(Assumptions!$E$30/30,1))*Assumptions!$B$30/100,0)</f>
      </c>
      <c r="O92" s="3">
        <f>IF(AND(A92-CEILING(Assumptions!$E$31/30,1)&gt;=1,A92-CEILING(Assumptions!$E$31/30,1)&lt;=156),INDEX($E$2:$E$157,A92-CEILING(Assumptions!$E$31/30,1))*Assumptions!$B$31/100,0)</f>
      </c>
      <c r="P92" s="3">
        <f>K92+L92+M92+N92+O92</f>
      </c>
      <c r="Q92" s="2"/>
      <c r="R92" s="2"/>
      <c r="S92" s="2"/>
    </row>
    <row r="93" ht="19" customHeight="1" spans="1:19" x14ac:dyDescent="0.25">
      <c r="A93" s="4">
        <v>92</v>
      </c>
      <c r="B93" s="4">
        <v>8</v>
      </c>
      <c r="C93" s="3">
        <f>Assumptions!$B$5*Assumptions!$B$32*Assumptions!$B$6*D93</f>
      </c>
      <c r="D93" s="5">
        <f>IF(A93&lt;=3,Assumptions!$B$21,IF(A93&lt;=6,Assumptions!$B$22,IF(A93&lt;=12,Assumptions!$B$23,Assumptions!$B$24)))/100</f>
      </c>
      <c r="E93" s="3">
        <f>Assumptions!$B$5*Assumptions!$B$33*Assumptions!$B$6*D93</f>
      </c>
      <c r="F93" s="3">
        <f>Assumptions!$B$5*Assumptions!$B$7*Assumptions!$B$6*D93</f>
      </c>
      <c r="G93" s="3">
        <f>Assumptions!$B$8</f>
      </c>
      <c r="H93" s="3">
        <f>IF(INDEX(Assumptions!$B$35:$B$47,B93)&lt;&gt;"",INDEX(Assumptions!$B$35:$B$47,B93)/100*Assumptions!$B$2,IF(B93&lt;=Assumptions!$B$17,0,IF(B93&lt;=Assumptions!$B$17+Assumptions!$B$18,Assumptions!$B$19,Assumptions!$B$20)))/12</f>
      </c>
      <c r="I93" s="3">
        <f>IF(Assumptions!$B$12="Cash",0,IF(A93&lt;=Assumptions!$B$15,Monthly!$S$1,0))</f>
      </c>
      <c r="J93" s="3">
        <f>E93-F93-G93-H93-I93</f>
      </c>
      <c r="K93" s="3">
        <f>IF(AND(A93-CEILING(Assumptions!$E$27/30,1)&gt;=1,A93-CEILING(Assumptions!$E$27/30,1)&lt;=156),INDEX($E$2:$E$157,A93-CEILING(Assumptions!$E$27/30,1))*Assumptions!$B$27/100,0)</f>
      </c>
      <c r="L93" s="3">
        <f>IF(AND(A93-CEILING(Assumptions!$E$28/30,1)&gt;=1,A93-CEILING(Assumptions!$E$28/30,1)&lt;=156),INDEX($E$2:$E$157,A93-CEILING(Assumptions!$E$28/30,1))*Assumptions!$B$28/100,0)</f>
      </c>
      <c r="M93" s="3">
        <f>IF(AND(A93-CEILING(Assumptions!$E$29/30,1)&gt;=1,A93-CEILING(Assumptions!$E$29/30,1)&lt;=156),INDEX($E$2:$E$157,A93-CEILING(Assumptions!$E$29/30,1))*Assumptions!$B$29/100,0)</f>
      </c>
      <c r="N93" s="3">
        <f>IF(AND(A93-CEILING(Assumptions!$E$30/30,1)&gt;=1,A93-CEILING(Assumptions!$E$30/30,1)&lt;=156),INDEX($E$2:$E$157,A93-CEILING(Assumptions!$E$30/30,1))*Assumptions!$B$30/100,0)</f>
      </c>
      <c r="O93" s="3">
        <f>IF(AND(A93-CEILING(Assumptions!$E$31/30,1)&gt;=1,A93-CEILING(Assumptions!$E$31/30,1)&lt;=156),INDEX($E$2:$E$157,A93-CEILING(Assumptions!$E$31/30,1))*Assumptions!$B$31/100,0)</f>
      </c>
      <c r="P93" s="3">
        <f>K93+L93+M93+N93+O93</f>
      </c>
      <c r="Q93" s="2"/>
      <c r="R93" s="2"/>
      <c r="S93" s="2"/>
    </row>
    <row r="94" ht="19" customHeight="1" spans="1:19" x14ac:dyDescent="0.25">
      <c r="A94" s="4">
        <v>93</v>
      </c>
      <c r="B94" s="4">
        <v>8</v>
      </c>
      <c r="C94" s="3">
        <f>Assumptions!$B$5*Assumptions!$B$32*Assumptions!$B$6*D94</f>
      </c>
      <c r="D94" s="5">
        <f>IF(A94&lt;=3,Assumptions!$B$21,IF(A94&lt;=6,Assumptions!$B$22,IF(A94&lt;=12,Assumptions!$B$23,Assumptions!$B$24)))/100</f>
      </c>
      <c r="E94" s="3">
        <f>Assumptions!$B$5*Assumptions!$B$33*Assumptions!$B$6*D94</f>
      </c>
      <c r="F94" s="3">
        <f>Assumptions!$B$5*Assumptions!$B$7*Assumptions!$B$6*D94</f>
      </c>
      <c r="G94" s="3">
        <f>Assumptions!$B$8</f>
      </c>
      <c r="H94" s="3">
        <f>IF(INDEX(Assumptions!$B$35:$B$47,B94)&lt;&gt;"",INDEX(Assumptions!$B$35:$B$47,B94)/100*Assumptions!$B$2,IF(B94&lt;=Assumptions!$B$17,0,IF(B94&lt;=Assumptions!$B$17+Assumptions!$B$18,Assumptions!$B$19,Assumptions!$B$20)))/12</f>
      </c>
      <c r="I94" s="3">
        <f>IF(Assumptions!$B$12="Cash",0,IF(A94&lt;=Assumptions!$B$15,Monthly!$S$1,0))</f>
      </c>
      <c r="J94" s="3">
        <f>E94-F94-G94-H94-I94</f>
      </c>
      <c r="K94" s="3">
        <f>IF(AND(A94-CEILING(Assumptions!$E$27/30,1)&gt;=1,A94-CEILING(Assumptions!$E$27/30,1)&lt;=156),INDEX($E$2:$E$157,A94-CEILING(Assumptions!$E$27/30,1))*Assumptions!$B$27/100,0)</f>
      </c>
      <c r="L94" s="3">
        <f>IF(AND(A94-CEILING(Assumptions!$E$28/30,1)&gt;=1,A94-CEILING(Assumptions!$E$28/30,1)&lt;=156),INDEX($E$2:$E$157,A94-CEILING(Assumptions!$E$28/30,1))*Assumptions!$B$28/100,0)</f>
      </c>
      <c r="M94" s="3">
        <f>IF(AND(A94-CEILING(Assumptions!$E$29/30,1)&gt;=1,A94-CEILING(Assumptions!$E$29/30,1)&lt;=156),INDEX($E$2:$E$157,A94-CEILING(Assumptions!$E$29/30,1))*Assumptions!$B$29/100,0)</f>
      </c>
      <c r="N94" s="3">
        <f>IF(AND(A94-CEILING(Assumptions!$E$30/30,1)&gt;=1,A94-CEILING(Assumptions!$E$30/30,1)&lt;=156),INDEX($E$2:$E$157,A94-CEILING(Assumptions!$E$30/30,1))*Assumptions!$B$30/100,0)</f>
      </c>
      <c r="O94" s="3">
        <f>IF(AND(A94-CEILING(Assumptions!$E$31/30,1)&gt;=1,A94-CEILING(Assumptions!$E$31/30,1)&lt;=156),INDEX($E$2:$E$157,A94-CEILING(Assumptions!$E$31/30,1))*Assumptions!$B$31/100,0)</f>
      </c>
      <c r="P94" s="3">
        <f>K94+L94+M94+N94+O94</f>
      </c>
      <c r="Q94" s="2"/>
      <c r="R94" s="2"/>
      <c r="S94" s="2"/>
    </row>
    <row r="95" ht="19" customHeight="1" spans="1:19" x14ac:dyDescent="0.25">
      <c r="A95" s="4">
        <v>94</v>
      </c>
      <c r="B95" s="4">
        <v>8</v>
      </c>
      <c r="C95" s="3">
        <f>Assumptions!$B$5*Assumptions!$B$32*Assumptions!$B$6*D95</f>
      </c>
      <c r="D95" s="5">
        <f>IF(A95&lt;=3,Assumptions!$B$21,IF(A95&lt;=6,Assumptions!$B$22,IF(A95&lt;=12,Assumptions!$B$23,Assumptions!$B$24)))/100</f>
      </c>
      <c r="E95" s="3">
        <f>Assumptions!$B$5*Assumptions!$B$33*Assumptions!$B$6*D95</f>
      </c>
      <c r="F95" s="3">
        <f>Assumptions!$B$5*Assumptions!$B$7*Assumptions!$B$6*D95</f>
      </c>
      <c r="G95" s="3">
        <f>Assumptions!$B$8</f>
      </c>
      <c r="H95" s="3">
        <f>IF(INDEX(Assumptions!$B$35:$B$47,B95)&lt;&gt;"",INDEX(Assumptions!$B$35:$B$47,B95)/100*Assumptions!$B$2,IF(B95&lt;=Assumptions!$B$17,0,IF(B95&lt;=Assumptions!$B$17+Assumptions!$B$18,Assumptions!$B$19,Assumptions!$B$20)))/12</f>
      </c>
      <c r="I95" s="3">
        <f>IF(Assumptions!$B$12="Cash",0,IF(A95&lt;=Assumptions!$B$15,Monthly!$S$1,0))</f>
      </c>
      <c r="J95" s="3">
        <f>E95-F95-G95-H95-I95</f>
      </c>
      <c r="K95" s="3">
        <f>IF(AND(A95-CEILING(Assumptions!$E$27/30,1)&gt;=1,A95-CEILING(Assumptions!$E$27/30,1)&lt;=156),INDEX($E$2:$E$157,A95-CEILING(Assumptions!$E$27/30,1))*Assumptions!$B$27/100,0)</f>
      </c>
      <c r="L95" s="3">
        <f>IF(AND(A95-CEILING(Assumptions!$E$28/30,1)&gt;=1,A95-CEILING(Assumptions!$E$28/30,1)&lt;=156),INDEX($E$2:$E$157,A95-CEILING(Assumptions!$E$28/30,1))*Assumptions!$B$28/100,0)</f>
      </c>
      <c r="M95" s="3">
        <f>IF(AND(A95-CEILING(Assumptions!$E$29/30,1)&gt;=1,A95-CEILING(Assumptions!$E$29/30,1)&lt;=156),INDEX($E$2:$E$157,A95-CEILING(Assumptions!$E$29/30,1))*Assumptions!$B$29/100,0)</f>
      </c>
      <c r="N95" s="3">
        <f>IF(AND(A95-CEILING(Assumptions!$E$30/30,1)&gt;=1,A95-CEILING(Assumptions!$E$30/30,1)&lt;=156),INDEX($E$2:$E$157,A95-CEILING(Assumptions!$E$30/30,1))*Assumptions!$B$30/100,0)</f>
      </c>
      <c r="O95" s="3">
        <f>IF(AND(A95-CEILING(Assumptions!$E$31/30,1)&gt;=1,A95-CEILING(Assumptions!$E$31/30,1)&lt;=156),INDEX($E$2:$E$157,A95-CEILING(Assumptions!$E$31/30,1))*Assumptions!$B$31/100,0)</f>
      </c>
      <c r="P95" s="3">
        <f>K95+L95+M95+N95+O95</f>
      </c>
      <c r="Q95" s="2"/>
      <c r="R95" s="2"/>
      <c r="S95" s="2"/>
    </row>
    <row r="96" ht="19" customHeight="1" spans="1:19" x14ac:dyDescent="0.25">
      <c r="A96" s="4">
        <v>95</v>
      </c>
      <c r="B96" s="4">
        <v>8</v>
      </c>
      <c r="C96" s="3">
        <f>Assumptions!$B$5*Assumptions!$B$32*Assumptions!$B$6*D96</f>
      </c>
      <c r="D96" s="5">
        <f>IF(A96&lt;=3,Assumptions!$B$21,IF(A96&lt;=6,Assumptions!$B$22,IF(A96&lt;=12,Assumptions!$B$23,Assumptions!$B$24)))/100</f>
      </c>
      <c r="E96" s="3">
        <f>Assumptions!$B$5*Assumptions!$B$33*Assumptions!$B$6*D96</f>
      </c>
      <c r="F96" s="3">
        <f>Assumptions!$B$5*Assumptions!$B$7*Assumptions!$B$6*D96</f>
      </c>
      <c r="G96" s="3">
        <f>Assumptions!$B$8</f>
      </c>
      <c r="H96" s="3">
        <f>IF(INDEX(Assumptions!$B$35:$B$47,B96)&lt;&gt;"",INDEX(Assumptions!$B$35:$B$47,B96)/100*Assumptions!$B$2,IF(B96&lt;=Assumptions!$B$17,0,IF(B96&lt;=Assumptions!$B$17+Assumptions!$B$18,Assumptions!$B$19,Assumptions!$B$20)))/12</f>
      </c>
      <c r="I96" s="3">
        <f>IF(Assumptions!$B$12="Cash",0,IF(A96&lt;=Assumptions!$B$15,Monthly!$S$1,0))</f>
      </c>
      <c r="J96" s="3">
        <f>E96-F96-G96-H96-I96</f>
      </c>
      <c r="K96" s="3">
        <f>IF(AND(A96-CEILING(Assumptions!$E$27/30,1)&gt;=1,A96-CEILING(Assumptions!$E$27/30,1)&lt;=156),INDEX($E$2:$E$157,A96-CEILING(Assumptions!$E$27/30,1))*Assumptions!$B$27/100,0)</f>
      </c>
      <c r="L96" s="3">
        <f>IF(AND(A96-CEILING(Assumptions!$E$28/30,1)&gt;=1,A96-CEILING(Assumptions!$E$28/30,1)&lt;=156),INDEX($E$2:$E$157,A96-CEILING(Assumptions!$E$28/30,1))*Assumptions!$B$28/100,0)</f>
      </c>
      <c r="M96" s="3">
        <f>IF(AND(A96-CEILING(Assumptions!$E$29/30,1)&gt;=1,A96-CEILING(Assumptions!$E$29/30,1)&lt;=156),INDEX($E$2:$E$157,A96-CEILING(Assumptions!$E$29/30,1))*Assumptions!$B$29/100,0)</f>
      </c>
      <c r="N96" s="3">
        <f>IF(AND(A96-CEILING(Assumptions!$E$30/30,1)&gt;=1,A96-CEILING(Assumptions!$E$30/30,1)&lt;=156),INDEX($E$2:$E$157,A96-CEILING(Assumptions!$E$30/30,1))*Assumptions!$B$30/100,0)</f>
      </c>
      <c r="O96" s="3">
        <f>IF(AND(A96-CEILING(Assumptions!$E$31/30,1)&gt;=1,A96-CEILING(Assumptions!$E$31/30,1)&lt;=156),INDEX($E$2:$E$157,A96-CEILING(Assumptions!$E$31/30,1))*Assumptions!$B$31/100,0)</f>
      </c>
      <c r="P96" s="3">
        <f>K96+L96+M96+N96+O96</f>
      </c>
      <c r="Q96" s="2"/>
      <c r="R96" s="2"/>
      <c r="S96" s="2"/>
    </row>
    <row r="97" ht="19" customHeight="1" spans="1:19" x14ac:dyDescent="0.25">
      <c r="A97" s="4">
        <v>96</v>
      </c>
      <c r="B97" s="4">
        <v>8</v>
      </c>
      <c r="C97" s="3">
        <f>Assumptions!$B$5*Assumptions!$B$32*Assumptions!$B$6*D97</f>
      </c>
      <c r="D97" s="5">
        <f>IF(A97&lt;=3,Assumptions!$B$21,IF(A97&lt;=6,Assumptions!$B$22,IF(A97&lt;=12,Assumptions!$B$23,Assumptions!$B$24)))/100</f>
      </c>
      <c r="E97" s="3">
        <f>Assumptions!$B$5*Assumptions!$B$33*Assumptions!$B$6*D97</f>
      </c>
      <c r="F97" s="3">
        <f>Assumptions!$B$5*Assumptions!$B$7*Assumptions!$B$6*D97</f>
      </c>
      <c r="G97" s="3">
        <f>Assumptions!$B$8</f>
      </c>
      <c r="H97" s="3">
        <f>IF(INDEX(Assumptions!$B$35:$B$47,B97)&lt;&gt;"",INDEX(Assumptions!$B$35:$B$47,B97)/100*Assumptions!$B$2,IF(B97&lt;=Assumptions!$B$17,0,IF(B97&lt;=Assumptions!$B$17+Assumptions!$B$18,Assumptions!$B$19,Assumptions!$B$20)))/12</f>
      </c>
      <c r="I97" s="3">
        <f>IF(Assumptions!$B$12="Cash",0,IF(A97&lt;=Assumptions!$B$15,Monthly!$S$1,0))</f>
      </c>
      <c r="J97" s="3">
        <f>E97-F97-G97-H97-I97</f>
      </c>
      <c r="K97" s="3">
        <f>IF(AND(A97-CEILING(Assumptions!$E$27/30,1)&gt;=1,A97-CEILING(Assumptions!$E$27/30,1)&lt;=156),INDEX($E$2:$E$157,A97-CEILING(Assumptions!$E$27/30,1))*Assumptions!$B$27/100,0)</f>
      </c>
      <c r="L97" s="3">
        <f>IF(AND(A97-CEILING(Assumptions!$E$28/30,1)&gt;=1,A97-CEILING(Assumptions!$E$28/30,1)&lt;=156),INDEX($E$2:$E$157,A97-CEILING(Assumptions!$E$28/30,1))*Assumptions!$B$28/100,0)</f>
      </c>
      <c r="M97" s="3">
        <f>IF(AND(A97-CEILING(Assumptions!$E$29/30,1)&gt;=1,A97-CEILING(Assumptions!$E$29/30,1)&lt;=156),INDEX($E$2:$E$157,A97-CEILING(Assumptions!$E$29/30,1))*Assumptions!$B$29/100,0)</f>
      </c>
      <c r="N97" s="3">
        <f>IF(AND(A97-CEILING(Assumptions!$E$30/30,1)&gt;=1,A97-CEILING(Assumptions!$E$30/30,1)&lt;=156),INDEX($E$2:$E$157,A97-CEILING(Assumptions!$E$30/30,1))*Assumptions!$B$30/100,0)</f>
      </c>
      <c r="O97" s="3">
        <f>IF(AND(A97-CEILING(Assumptions!$E$31/30,1)&gt;=1,A97-CEILING(Assumptions!$E$31/30,1)&lt;=156),INDEX($E$2:$E$157,A97-CEILING(Assumptions!$E$31/30,1))*Assumptions!$B$31/100,0)</f>
      </c>
      <c r="P97" s="3">
        <f>K97+L97+M97+N97+O97</f>
      </c>
      <c r="Q97" s="2"/>
      <c r="R97" s="2"/>
      <c r="S97" s="2"/>
    </row>
    <row r="98" ht="19" customHeight="1" spans="1:19" x14ac:dyDescent="0.25">
      <c r="A98" s="4">
        <v>97</v>
      </c>
      <c r="B98" s="4">
        <v>9</v>
      </c>
      <c r="C98" s="3">
        <f>Assumptions!$B$5*Assumptions!$B$32*Assumptions!$B$6*D98</f>
      </c>
      <c r="D98" s="5">
        <f>IF(A98&lt;=3,Assumptions!$B$21,IF(A98&lt;=6,Assumptions!$B$22,IF(A98&lt;=12,Assumptions!$B$23,Assumptions!$B$24)))/100</f>
      </c>
      <c r="E98" s="3">
        <f>Assumptions!$B$5*Assumptions!$B$33*Assumptions!$B$6*D98</f>
      </c>
      <c r="F98" s="3">
        <f>Assumptions!$B$5*Assumptions!$B$7*Assumptions!$B$6*D98</f>
      </c>
      <c r="G98" s="3">
        <f>Assumptions!$B$8</f>
      </c>
      <c r="H98" s="3">
        <f>IF(INDEX(Assumptions!$B$35:$B$47,B98)&lt;&gt;"",INDEX(Assumptions!$B$35:$B$47,B98)/100*Assumptions!$B$2,IF(B98&lt;=Assumptions!$B$17,0,IF(B98&lt;=Assumptions!$B$17+Assumptions!$B$18,Assumptions!$B$19,Assumptions!$B$20)))/12</f>
      </c>
      <c r="I98" s="3">
        <f>IF(Assumptions!$B$12="Cash",0,IF(A98&lt;=Assumptions!$B$15,Monthly!$S$1,0))</f>
      </c>
      <c r="J98" s="3">
        <f>E98-F98-G98-H98-I98</f>
      </c>
      <c r="K98" s="3">
        <f>IF(AND(A98-CEILING(Assumptions!$E$27/30,1)&gt;=1,A98-CEILING(Assumptions!$E$27/30,1)&lt;=156),INDEX($E$2:$E$157,A98-CEILING(Assumptions!$E$27/30,1))*Assumptions!$B$27/100,0)</f>
      </c>
      <c r="L98" s="3">
        <f>IF(AND(A98-CEILING(Assumptions!$E$28/30,1)&gt;=1,A98-CEILING(Assumptions!$E$28/30,1)&lt;=156),INDEX($E$2:$E$157,A98-CEILING(Assumptions!$E$28/30,1))*Assumptions!$B$28/100,0)</f>
      </c>
      <c r="M98" s="3">
        <f>IF(AND(A98-CEILING(Assumptions!$E$29/30,1)&gt;=1,A98-CEILING(Assumptions!$E$29/30,1)&lt;=156),INDEX($E$2:$E$157,A98-CEILING(Assumptions!$E$29/30,1))*Assumptions!$B$29/100,0)</f>
      </c>
      <c r="N98" s="3">
        <f>IF(AND(A98-CEILING(Assumptions!$E$30/30,1)&gt;=1,A98-CEILING(Assumptions!$E$30/30,1)&lt;=156),INDEX($E$2:$E$157,A98-CEILING(Assumptions!$E$30/30,1))*Assumptions!$B$30/100,0)</f>
      </c>
      <c r="O98" s="3">
        <f>IF(AND(A98-CEILING(Assumptions!$E$31/30,1)&gt;=1,A98-CEILING(Assumptions!$E$31/30,1)&lt;=156),INDEX($E$2:$E$157,A98-CEILING(Assumptions!$E$31/30,1))*Assumptions!$B$31/100,0)</f>
      </c>
      <c r="P98" s="3">
        <f>K98+L98+M98+N98+O98</f>
      </c>
      <c r="Q98" s="2"/>
      <c r="R98" s="2"/>
      <c r="S98" s="2"/>
    </row>
    <row r="99" ht="19" customHeight="1" spans="1:19" x14ac:dyDescent="0.25">
      <c r="A99" s="4">
        <v>98</v>
      </c>
      <c r="B99" s="4">
        <v>9</v>
      </c>
      <c r="C99" s="3">
        <f>Assumptions!$B$5*Assumptions!$B$32*Assumptions!$B$6*D99</f>
      </c>
      <c r="D99" s="5">
        <f>IF(A99&lt;=3,Assumptions!$B$21,IF(A99&lt;=6,Assumptions!$B$22,IF(A99&lt;=12,Assumptions!$B$23,Assumptions!$B$24)))/100</f>
      </c>
      <c r="E99" s="3">
        <f>Assumptions!$B$5*Assumptions!$B$33*Assumptions!$B$6*D99</f>
      </c>
      <c r="F99" s="3">
        <f>Assumptions!$B$5*Assumptions!$B$7*Assumptions!$B$6*D99</f>
      </c>
      <c r="G99" s="3">
        <f>Assumptions!$B$8</f>
      </c>
      <c r="H99" s="3">
        <f>IF(INDEX(Assumptions!$B$35:$B$47,B99)&lt;&gt;"",INDEX(Assumptions!$B$35:$B$47,B99)/100*Assumptions!$B$2,IF(B99&lt;=Assumptions!$B$17,0,IF(B99&lt;=Assumptions!$B$17+Assumptions!$B$18,Assumptions!$B$19,Assumptions!$B$20)))/12</f>
      </c>
      <c r="I99" s="3">
        <f>IF(Assumptions!$B$12="Cash",0,IF(A99&lt;=Assumptions!$B$15,Monthly!$S$1,0))</f>
      </c>
      <c r="J99" s="3">
        <f>E99-F99-G99-H99-I99</f>
      </c>
      <c r="K99" s="3">
        <f>IF(AND(A99-CEILING(Assumptions!$E$27/30,1)&gt;=1,A99-CEILING(Assumptions!$E$27/30,1)&lt;=156),INDEX($E$2:$E$157,A99-CEILING(Assumptions!$E$27/30,1))*Assumptions!$B$27/100,0)</f>
      </c>
      <c r="L99" s="3">
        <f>IF(AND(A99-CEILING(Assumptions!$E$28/30,1)&gt;=1,A99-CEILING(Assumptions!$E$28/30,1)&lt;=156),INDEX($E$2:$E$157,A99-CEILING(Assumptions!$E$28/30,1))*Assumptions!$B$28/100,0)</f>
      </c>
      <c r="M99" s="3">
        <f>IF(AND(A99-CEILING(Assumptions!$E$29/30,1)&gt;=1,A99-CEILING(Assumptions!$E$29/30,1)&lt;=156),INDEX($E$2:$E$157,A99-CEILING(Assumptions!$E$29/30,1))*Assumptions!$B$29/100,0)</f>
      </c>
      <c r="N99" s="3">
        <f>IF(AND(A99-CEILING(Assumptions!$E$30/30,1)&gt;=1,A99-CEILING(Assumptions!$E$30/30,1)&lt;=156),INDEX($E$2:$E$157,A99-CEILING(Assumptions!$E$30/30,1))*Assumptions!$B$30/100,0)</f>
      </c>
      <c r="O99" s="3">
        <f>IF(AND(A99-CEILING(Assumptions!$E$31/30,1)&gt;=1,A99-CEILING(Assumptions!$E$31/30,1)&lt;=156),INDEX($E$2:$E$157,A99-CEILING(Assumptions!$E$31/30,1))*Assumptions!$B$31/100,0)</f>
      </c>
      <c r="P99" s="3">
        <f>K99+L99+M99+N99+O99</f>
      </c>
      <c r="Q99" s="2"/>
      <c r="R99" s="2"/>
      <c r="S99" s="2"/>
    </row>
    <row r="100" ht="19" customHeight="1" spans="1:19" x14ac:dyDescent="0.25">
      <c r="A100" s="4">
        <v>99</v>
      </c>
      <c r="B100" s="4">
        <v>9</v>
      </c>
      <c r="C100" s="3">
        <f>Assumptions!$B$5*Assumptions!$B$32*Assumptions!$B$6*D100</f>
      </c>
      <c r="D100" s="5">
        <f>IF(A100&lt;=3,Assumptions!$B$21,IF(A100&lt;=6,Assumptions!$B$22,IF(A100&lt;=12,Assumptions!$B$23,Assumptions!$B$24)))/100</f>
      </c>
      <c r="E100" s="3">
        <f>Assumptions!$B$5*Assumptions!$B$33*Assumptions!$B$6*D100</f>
      </c>
      <c r="F100" s="3">
        <f>Assumptions!$B$5*Assumptions!$B$7*Assumptions!$B$6*D100</f>
      </c>
      <c r="G100" s="3">
        <f>Assumptions!$B$8</f>
      </c>
      <c r="H100" s="3">
        <f>IF(INDEX(Assumptions!$B$35:$B$47,B100)&lt;&gt;"",INDEX(Assumptions!$B$35:$B$47,B100)/100*Assumptions!$B$2,IF(B100&lt;=Assumptions!$B$17,0,IF(B100&lt;=Assumptions!$B$17+Assumptions!$B$18,Assumptions!$B$19,Assumptions!$B$20)))/12</f>
      </c>
      <c r="I100" s="3">
        <f>IF(Assumptions!$B$12="Cash",0,IF(A100&lt;=Assumptions!$B$15,Monthly!$S$1,0))</f>
      </c>
      <c r="J100" s="3">
        <f>E100-F100-G100-H100-I100</f>
      </c>
      <c r="K100" s="3">
        <f>IF(AND(A100-CEILING(Assumptions!$E$27/30,1)&gt;=1,A100-CEILING(Assumptions!$E$27/30,1)&lt;=156),INDEX($E$2:$E$157,A100-CEILING(Assumptions!$E$27/30,1))*Assumptions!$B$27/100,0)</f>
      </c>
      <c r="L100" s="3">
        <f>IF(AND(A100-CEILING(Assumptions!$E$28/30,1)&gt;=1,A100-CEILING(Assumptions!$E$28/30,1)&lt;=156),INDEX($E$2:$E$157,A100-CEILING(Assumptions!$E$28/30,1))*Assumptions!$B$28/100,0)</f>
      </c>
      <c r="M100" s="3">
        <f>IF(AND(A100-CEILING(Assumptions!$E$29/30,1)&gt;=1,A100-CEILING(Assumptions!$E$29/30,1)&lt;=156),INDEX($E$2:$E$157,A100-CEILING(Assumptions!$E$29/30,1))*Assumptions!$B$29/100,0)</f>
      </c>
      <c r="N100" s="3">
        <f>IF(AND(A100-CEILING(Assumptions!$E$30/30,1)&gt;=1,A100-CEILING(Assumptions!$E$30/30,1)&lt;=156),INDEX($E$2:$E$157,A100-CEILING(Assumptions!$E$30/30,1))*Assumptions!$B$30/100,0)</f>
      </c>
      <c r="O100" s="3">
        <f>IF(AND(A100-CEILING(Assumptions!$E$31/30,1)&gt;=1,A100-CEILING(Assumptions!$E$31/30,1)&lt;=156),INDEX($E$2:$E$157,A100-CEILING(Assumptions!$E$31/30,1))*Assumptions!$B$31/100,0)</f>
      </c>
      <c r="P100" s="3">
        <f>K100+L100+M100+N100+O100</f>
      </c>
      <c r="Q100" s="2"/>
      <c r="R100" s="2"/>
      <c r="S100" s="2"/>
    </row>
    <row r="101" ht="19" customHeight="1" spans="1:19" x14ac:dyDescent="0.25">
      <c r="A101" s="4">
        <v>100</v>
      </c>
      <c r="B101" s="4">
        <v>9</v>
      </c>
      <c r="C101" s="3">
        <f>Assumptions!$B$5*Assumptions!$B$32*Assumptions!$B$6*D101</f>
      </c>
      <c r="D101" s="5">
        <f>IF(A101&lt;=3,Assumptions!$B$21,IF(A101&lt;=6,Assumptions!$B$22,IF(A101&lt;=12,Assumptions!$B$23,Assumptions!$B$24)))/100</f>
      </c>
      <c r="E101" s="3">
        <f>Assumptions!$B$5*Assumptions!$B$33*Assumptions!$B$6*D101</f>
      </c>
      <c r="F101" s="3">
        <f>Assumptions!$B$5*Assumptions!$B$7*Assumptions!$B$6*D101</f>
      </c>
      <c r="G101" s="3">
        <f>Assumptions!$B$8</f>
      </c>
      <c r="H101" s="3">
        <f>IF(INDEX(Assumptions!$B$35:$B$47,B101)&lt;&gt;"",INDEX(Assumptions!$B$35:$B$47,B101)/100*Assumptions!$B$2,IF(B101&lt;=Assumptions!$B$17,0,IF(B101&lt;=Assumptions!$B$17+Assumptions!$B$18,Assumptions!$B$19,Assumptions!$B$20)))/12</f>
      </c>
      <c r="I101" s="3">
        <f>IF(Assumptions!$B$12="Cash",0,IF(A101&lt;=Assumptions!$B$15,Monthly!$S$1,0))</f>
      </c>
      <c r="J101" s="3">
        <f>E101-F101-G101-H101-I101</f>
      </c>
      <c r="K101" s="3">
        <f>IF(AND(A101-CEILING(Assumptions!$E$27/30,1)&gt;=1,A101-CEILING(Assumptions!$E$27/30,1)&lt;=156),INDEX($E$2:$E$157,A101-CEILING(Assumptions!$E$27/30,1))*Assumptions!$B$27/100,0)</f>
      </c>
      <c r="L101" s="3">
        <f>IF(AND(A101-CEILING(Assumptions!$E$28/30,1)&gt;=1,A101-CEILING(Assumptions!$E$28/30,1)&lt;=156),INDEX($E$2:$E$157,A101-CEILING(Assumptions!$E$28/30,1))*Assumptions!$B$28/100,0)</f>
      </c>
      <c r="M101" s="3">
        <f>IF(AND(A101-CEILING(Assumptions!$E$29/30,1)&gt;=1,A101-CEILING(Assumptions!$E$29/30,1)&lt;=156),INDEX($E$2:$E$157,A101-CEILING(Assumptions!$E$29/30,1))*Assumptions!$B$29/100,0)</f>
      </c>
      <c r="N101" s="3">
        <f>IF(AND(A101-CEILING(Assumptions!$E$30/30,1)&gt;=1,A101-CEILING(Assumptions!$E$30/30,1)&lt;=156),INDEX($E$2:$E$157,A101-CEILING(Assumptions!$E$30/30,1))*Assumptions!$B$30/100,0)</f>
      </c>
      <c r="O101" s="3">
        <f>IF(AND(A101-CEILING(Assumptions!$E$31/30,1)&gt;=1,A101-CEILING(Assumptions!$E$31/30,1)&lt;=156),INDEX($E$2:$E$157,A101-CEILING(Assumptions!$E$31/30,1))*Assumptions!$B$31/100,0)</f>
      </c>
      <c r="P101" s="3">
        <f>K101+L101+M101+N101+O101</f>
      </c>
      <c r="Q101" s="2"/>
      <c r="R101" s="2"/>
      <c r="S101" s="2"/>
    </row>
    <row r="102" ht="19" customHeight="1" spans="1:19" x14ac:dyDescent="0.25">
      <c r="A102" s="4">
        <v>101</v>
      </c>
      <c r="B102" s="4">
        <v>9</v>
      </c>
      <c r="C102" s="3">
        <f>Assumptions!$B$5*Assumptions!$B$32*Assumptions!$B$6*D102</f>
      </c>
      <c r="D102" s="5">
        <f>IF(A102&lt;=3,Assumptions!$B$21,IF(A102&lt;=6,Assumptions!$B$22,IF(A102&lt;=12,Assumptions!$B$23,Assumptions!$B$24)))/100</f>
      </c>
      <c r="E102" s="3">
        <f>Assumptions!$B$5*Assumptions!$B$33*Assumptions!$B$6*D102</f>
      </c>
      <c r="F102" s="3">
        <f>Assumptions!$B$5*Assumptions!$B$7*Assumptions!$B$6*D102</f>
      </c>
      <c r="G102" s="3">
        <f>Assumptions!$B$8</f>
      </c>
      <c r="H102" s="3">
        <f>IF(INDEX(Assumptions!$B$35:$B$47,B102)&lt;&gt;"",INDEX(Assumptions!$B$35:$B$47,B102)/100*Assumptions!$B$2,IF(B102&lt;=Assumptions!$B$17,0,IF(B102&lt;=Assumptions!$B$17+Assumptions!$B$18,Assumptions!$B$19,Assumptions!$B$20)))/12</f>
      </c>
      <c r="I102" s="3">
        <f>IF(Assumptions!$B$12="Cash",0,IF(A102&lt;=Assumptions!$B$15,Monthly!$S$1,0))</f>
      </c>
      <c r="J102" s="3">
        <f>E102-F102-G102-H102-I102</f>
      </c>
      <c r="K102" s="3">
        <f>IF(AND(A102-CEILING(Assumptions!$E$27/30,1)&gt;=1,A102-CEILING(Assumptions!$E$27/30,1)&lt;=156),INDEX($E$2:$E$157,A102-CEILING(Assumptions!$E$27/30,1))*Assumptions!$B$27/100,0)</f>
      </c>
      <c r="L102" s="3">
        <f>IF(AND(A102-CEILING(Assumptions!$E$28/30,1)&gt;=1,A102-CEILING(Assumptions!$E$28/30,1)&lt;=156),INDEX($E$2:$E$157,A102-CEILING(Assumptions!$E$28/30,1))*Assumptions!$B$28/100,0)</f>
      </c>
      <c r="M102" s="3">
        <f>IF(AND(A102-CEILING(Assumptions!$E$29/30,1)&gt;=1,A102-CEILING(Assumptions!$E$29/30,1)&lt;=156),INDEX($E$2:$E$157,A102-CEILING(Assumptions!$E$29/30,1))*Assumptions!$B$29/100,0)</f>
      </c>
      <c r="N102" s="3">
        <f>IF(AND(A102-CEILING(Assumptions!$E$30/30,1)&gt;=1,A102-CEILING(Assumptions!$E$30/30,1)&lt;=156),INDEX($E$2:$E$157,A102-CEILING(Assumptions!$E$30/30,1))*Assumptions!$B$30/100,0)</f>
      </c>
      <c r="O102" s="3">
        <f>IF(AND(A102-CEILING(Assumptions!$E$31/30,1)&gt;=1,A102-CEILING(Assumptions!$E$31/30,1)&lt;=156),INDEX($E$2:$E$157,A102-CEILING(Assumptions!$E$31/30,1))*Assumptions!$B$31/100,0)</f>
      </c>
      <c r="P102" s="3">
        <f>K102+L102+M102+N102+O102</f>
      </c>
      <c r="Q102" s="2"/>
      <c r="R102" s="2"/>
      <c r="S102" s="2"/>
    </row>
    <row r="103" ht="19" customHeight="1" spans="1:19" x14ac:dyDescent="0.25">
      <c r="A103" s="4">
        <v>102</v>
      </c>
      <c r="B103" s="4">
        <v>9</v>
      </c>
      <c r="C103" s="3">
        <f>Assumptions!$B$5*Assumptions!$B$32*Assumptions!$B$6*D103</f>
      </c>
      <c r="D103" s="5">
        <f>IF(A103&lt;=3,Assumptions!$B$21,IF(A103&lt;=6,Assumptions!$B$22,IF(A103&lt;=12,Assumptions!$B$23,Assumptions!$B$24)))/100</f>
      </c>
      <c r="E103" s="3">
        <f>Assumptions!$B$5*Assumptions!$B$33*Assumptions!$B$6*D103</f>
      </c>
      <c r="F103" s="3">
        <f>Assumptions!$B$5*Assumptions!$B$7*Assumptions!$B$6*D103</f>
      </c>
      <c r="G103" s="3">
        <f>Assumptions!$B$8</f>
      </c>
      <c r="H103" s="3">
        <f>IF(INDEX(Assumptions!$B$35:$B$47,B103)&lt;&gt;"",INDEX(Assumptions!$B$35:$B$47,B103)/100*Assumptions!$B$2,IF(B103&lt;=Assumptions!$B$17,0,IF(B103&lt;=Assumptions!$B$17+Assumptions!$B$18,Assumptions!$B$19,Assumptions!$B$20)))/12</f>
      </c>
      <c r="I103" s="3">
        <f>IF(Assumptions!$B$12="Cash",0,IF(A103&lt;=Assumptions!$B$15,Monthly!$S$1,0))</f>
      </c>
      <c r="J103" s="3">
        <f>E103-F103-G103-H103-I103</f>
      </c>
      <c r="K103" s="3">
        <f>IF(AND(A103-CEILING(Assumptions!$E$27/30,1)&gt;=1,A103-CEILING(Assumptions!$E$27/30,1)&lt;=156),INDEX($E$2:$E$157,A103-CEILING(Assumptions!$E$27/30,1))*Assumptions!$B$27/100,0)</f>
      </c>
      <c r="L103" s="3">
        <f>IF(AND(A103-CEILING(Assumptions!$E$28/30,1)&gt;=1,A103-CEILING(Assumptions!$E$28/30,1)&lt;=156),INDEX($E$2:$E$157,A103-CEILING(Assumptions!$E$28/30,1))*Assumptions!$B$28/100,0)</f>
      </c>
      <c r="M103" s="3">
        <f>IF(AND(A103-CEILING(Assumptions!$E$29/30,1)&gt;=1,A103-CEILING(Assumptions!$E$29/30,1)&lt;=156),INDEX($E$2:$E$157,A103-CEILING(Assumptions!$E$29/30,1))*Assumptions!$B$29/100,0)</f>
      </c>
      <c r="N103" s="3">
        <f>IF(AND(A103-CEILING(Assumptions!$E$30/30,1)&gt;=1,A103-CEILING(Assumptions!$E$30/30,1)&lt;=156),INDEX($E$2:$E$157,A103-CEILING(Assumptions!$E$30/30,1))*Assumptions!$B$30/100,0)</f>
      </c>
      <c r="O103" s="3">
        <f>IF(AND(A103-CEILING(Assumptions!$E$31/30,1)&gt;=1,A103-CEILING(Assumptions!$E$31/30,1)&lt;=156),INDEX($E$2:$E$157,A103-CEILING(Assumptions!$E$31/30,1))*Assumptions!$B$31/100,0)</f>
      </c>
      <c r="P103" s="3">
        <f>K103+L103+M103+N103+O103</f>
      </c>
      <c r="Q103" s="2"/>
      <c r="R103" s="2"/>
      <c r="S103" s="2"/>
    </row>
    <row r="104" ht="19" customHeight="1" spans="1:19" x14ac:dyDescent="0.25">
      <c r="A104" s="4">
        <v>103</v>
      </c>
      <c r="B104" s="4">
        <v>9</v>
      </c>
      <c r="C104" s="3">
        <f>Assumptions!$B$5*Assumptions!$B$32*Assumptions!$B$6*D104</f>
      </c>
      <c r="D104" s="5">
        <f>IF(A104&lt;=3,Assumptions!$B$21,IF(A104&lt;=6,Assumptions!$B$22,IF(A104&lt;=12,Assumptions!$B$23,Assumptions!$B$24)))/100</f>
      </c>
      <c r="E104" s="3">
        <f>Assumptions!$B$5*Assumptions!$B$33*Assumptions!$B$6*D104</f>
      </c>
      <c r="F104" s="3">
        <f>Assumptions!$B$5*Assumptions!$B$7*Assumptions!$B$6*D104</f>
      </c>
      <c r="G104" s="3">
        <f>Assumptions!$B$8</f>
      </c>
      <c r="H104" s="3">
        <f>IF(INDEX(Assumptions!$B$35:$B$47,B104)&lt;&gt;"",INDEX(Assumptions!$B$35:$B$47,B104)/100*Assumptions!$B$2,IF(B104&lt;=Assumptions!$B$17,0,IF(B104&lt;=Assumptions!$B$17+Assumptions!$B$18,Assumptions!$B$19,Assumptions!$B$20)))/12</f>
      </c>
      <c r="I104" s="3">
        <f>IF(Assumptions!$B$12="Cash",0,IF(A104&lt;=Assumptions!$B$15,Monthly!$S$1,0))</f>
      </c>
      <c r="J104" s="3">
        <f>E104-F104-G104-H104-I104</f>
      </c>
      <c r="K104" s="3">
        <f>IF(AND(A104-CEILING(Assumptions!$E$27/30,1)&gt;=1,A104-CEILING(Assumptions!$E$27/30,1)&lt;=156),INDEX($E$2:$E$157,A104-CEILING(Assumptions!$E$27/30,1))*Assumptions!$B$27/100,0)</f>
      </c>
      <c r="L104" s="3">
        <f>IF(AND(A104-CEILING(Assumptions!$E$28/30,1)&gt;=1,A104-CEILING(Assumptions!$E$28/30,1)&lt;=156),INDEX($E$2:$E$157,A104-CEILING(Assumptions!$E$28/30,1))*Assumptions!$B$28/100,0)</f>
      </c>
      <c r="M104" s="3">
        <f>IF(AND(A104-CEILING(Assumptions!$E$29/30,1)&gt;=1,A104-CEILING(Assumptions!$E$29/30,1)&lt;=156),INDEX($E$2:$E$157,A104-CEILING(Assumptions!$E$29/30,1))*Assumptions!$B$29/100,0)</f>
      </c>
      <c r="N104" s="3">
        <f>IF(AND(A104-CEILING(Assumptions!$E$30/30,1)&gt;=1,A104-CEILING(Assumptions!$E$30/30,1)&lt;=156),INDEX($E$2:$E$157,A104-CEILING(Assumptions!$E$30/30,1))*Assumptions!$B$30/100,0)</f>
      </c>
      <c r="O104" s="3">
        <f>IF(AND(A104-CEILING(Assumptions!$E$31/30,1)&gt;=1,A104-CEILING(Assumptions!$E$31/30,1)&lt;=156),INDEX($E$2:$E$157,A104-CEILING(Assumptions!$E$31/30,1))*Assumptions!$B$31/100,0)</f>
      </c>
      <c r="P104" s="3">
        <f>K104+L104+M104+N104+O104</f>
      </c>
      <c r="Q104" s="2"/>
      <c r="R104" s="2"/>
      <c r="S104" s="2"/>
    </row>
    <row r="105" ht="19" customHeight="1" spans="1:19" x14ac:dyDescent="0.25">
      <c r="A105" s="4">
        <v>104</v>
      </c>
      <c r="B105" s="4">
        <v>9</v>
      </c>
      <c r="C105" s="3">
        <f>Assumptions!$B$5*Assumptions!$B$32*Assumptions!$B$6*D105</f>
      </c>
      <c r="D105" s="5">
        <f>IF(A105&lt;=3,Assumptions!$B$21,IF(A105&lt;=6,Assumptions!$B$22,IF(A105&lt;=12,Assumptions!$B$23,Assumptions!$B$24)))/100</f>
      </c>
      <c r="E105" s="3">
        <f>Assumptions!$B$5*Assumptions!$B$33*Assumptions!$B$6*D105</f>
      </c>
      <c r="F105" s="3">
        <f>Assumptions!$B$5*Assumptions!$B$7*Assumptions!$B$6*D105</f>
      </c>
      <c r="G105" s="3">
        <f>Assumptions!$B$8</f>
      </c>
      <c r="H105" s="3">
        <f>IF(INDEX(Assumptions!$B$35:$B$47,B105)&lt;&gt;"",INDEX(Assumptions!$B$35:$B$47,B105)/100*Assumptions!$B$2,IF(B105&lt;=Assumptions!$B$17,0,IF(B105&lt;=Assumptions!$B$17+Assumptions!$B$18,Assumptions!$B$19,Assumptions!$B$20)))/12</f>
      </c>
      <c r="I105" s="3">
        <f>IF(Assumptions!$B$12="Cash",0,IF(A105&lt;=Assumptions!$B$15,Monthly!$S$1,0))</f>
      </c>
      <c r="J105" s="3">
        <f>E105-F105-G105-H105-I105</f>
      </c>
      <c r="K105" s="3">
        <f>IF(AND(A105-CEILING(Assumptions!$E$27/30,1)&gt;=1,A105-CEILING(Assumptions!$E$27/30,1)&lt;=156),INDEX($E$2:$E$157,A105-CEILING(Assumptions!$E$27/30,1))*Assumptions!$B$27/100,0)</f>
      </c>
      <c r="L105" s="3">
        <f>IF(AND(A105-CEILING(Assumptions!$E$28/30,1)&gt;=1,A105-CEILING(Assumptions!$E$28/30,1)&lt;=156),INDEX($E$2:$E$157,A105-CEILING(Assumptions!$E$28/30,1))*Assumptions!$B$28/100,0)</f>
      </c>
      <c r="M105" s="3">
        <f>IF(AND(A105-CEILING(Assumptions!$E$29/30,1)&gt;=1,A105-CEILING(Assumptions!$E$29/30,1)&lt;=156),INDEX($E$2:$E$157,A105-CEILING(Assumptions!$E$29/30,1))*Assumptions!$B$29/100,0)</f>
      </c>
      <c r="N105" s="3">
        <f>IF(AND(A105-CEILING(Assumptions!$E$30/30,1)&gt;=1,A105-CEILING(Assumptions!$E$30/30,1)&lt;=156),INDEX($E$2:$E$157,A105-CEILING(Assumptions!$E$30/30,1))*Assumptions!$B$30/100,0)</f>
      </c>
      <c r="O105" s="3">
        <f>IF(AND(A105-CEILING(Assumptions!$E$31/30,1)&gt;=1,A105-CEILING(Assumptions!$E$31/30,1)&lt;=156),INDEX($E$2:$E$157,A105-CEILING(Assumptions!$E$31/30,1))*Assumptions!$B$31/100,0)</f>
      </c>
      <c r="P105" s="3">
        <f>K105+L105+M105+N105+O105</f>
      </c>
      <c r="Q105" s="2"/>
      <c r="R105" s="2"/>
      <c r="S105" s="2"/>
    </row>
    <row r="106" ht="19" customHeight="1" spans="1:19" x14ac:dyDescent="0.25">
      <c r="A106" s="4">
        <v>105</v>
      </c>
      <c r="B106" s="4">
        <v>9</v>
      </c>
      <c r="C106" s="3">
        <f>Assumptions!$B$5*Assumptions!$B$32*Assumptions!$B$6*D106</f>
      </c>
      <c r="D106" s="5">
        <f>IF(A106&lt;=3,Assumptions!$B$21,IF(A106&lt;=6,Assumptions!$B$22,IF(A106&lt;=12,Assumptions!$B$23,Assumptions!$B$24)))/100</f>
      </c>
      <c r="E106" s="3">
        <f>Assumptions!$B$5*Assumptions!$B$33*Assumptions!$B$6*D106</f>
      </c>
      <c r="F106" s="3">
        <f>Assumptions!$B$5*Assumptions!$B$7*Assumptions!$B$6*D106</f>
      </c>
      <c r="G106" s="3">
        <f>Assumptions!$B$8</f>
      </c>
      <c r="H106" s="3">
        <f>IF(INDEX(Assumptions!$B$35:$B$47,B106)&lt;&gt;"",INDEX(Assumptions!$B$35:$B$47,B106)/100*Assumptions!$B$2,IF(B106&lt;=Assumptions!$B$17,0,IF(B106&lt;=Assumptions!$B$17+Assumptions!$B$18,Assumptions!$B$19,Assumptions!$B$20)))/12</f>
      </c>
      <c r="I106" s="3">
        <f>IF(Assumptions!$B$12="Cash",0,IF(A106&lt;=Assumptions!$B$15,Monthly!$S$1,0))</f>
      </c>
      <c r="J106" s="3">
        <f>E106-F106-G106-H106-I106</f>
      </c>
      <c r="K106" s="3">
        <f>IF(AND(A106-CEILING(Assumptions!$E$27/30,1)&gt;=1,A106-CEILING(Assumptions!$E$27/30,1)&lt;=156),INDEX($E$2:$E$157,A106-CEILING(Assumptions!$E$27/30,1))*Assumptions!$B$27/100,0)</f>
      </c>
      <c r="L106" s="3">
        <f>IF(AND(A106-CEILING(Assumptions!$E$28/30,1)&gt;=1,A106-CEILING(Assumptions!$E$28/30,1)&lt;=156),INDEX($E$2:$E$157,A106-CEILING(Assumptions!$E$28/30,1))*Assumptions!$B$28/100,0)</f>
      </c>
      <c r="M106" s="3">
        <f>IF(AND(A106-CEILING(Assumptions!$E$29/30,1)&gt;=1,A106-CEILING(Assumptions!$E$29/30,1)&lt;=156),INDEX($E$2:$E$157,A106-CEILING(Assumptions!$E$29/30,1))*Assumptions!$B$29/100,0)</f>
      </c>
      <c r="N106" s="3">
        <f>IF(AND(A106-CEILING(Assumptions!$E$30/30,1)&gt;=1,A106-CEILING(Assumptions!$E$30/30,1)&lt;=156),INDEX($E$2:$E$157,A106-CEILING(Assumptions!$E$30/30,1))*Assumptions!$B$30/100,0)</f>
      </c>
      <c r="O106" s="3">
        <f>IF(AND(A106-CEILING(Assumptions!$E$31/30,1)&gt;=1,A106-CEILING(Assumptions!$E$31/30,1)&lt;=156),INDEX($E$2:$E$157,A106-CEILING(Assumptions!$E$31/30,1))*Assumptions!$B$31/100,0)</f>
      </c>
      <c r="P106" s="3">
        <f>K106+L106+M106+N106+O106</f>
      </c>
      <c r="Q106" s="2"/>
      <c r="R106" s="2"/>
      <c r="S106" s="2"/>
    </row>
    <row r="107" ht="19" customHeight="1" spans="1:19" x14ac:dyDescent="0.25">
      <c r="A107" s="4">
        <v>106</v>
      </c>
      <c r="B107" s="4">
        <v>9</v>
      </c>
      <c r="C107" s="3">
        <f>Assumptions!$B$5*Assumptions!$B$32*Assumptions!$B$6*D107</f>
      </c>
      <c r="D107" s="5">
        <f>IF(A107&lt;=3,Assumptions!$B$21,IF(A107&lt;=6,Assumptions!$B$22,IF(A107&lt;=12,Assumptions!$B$23,Assumptions!$B$24)))/100</f>
      </c>
      <c r="E107" s="3">
        <f>Assumptions!$B$5*Assumptions!$B$33*Assumptions!$B$6*D107</f>
      </c>
      <c r="F107" s="3">
        <f>Assumptions!$B$5*Assumptions!$B$7*Assumptions!$B$6*D107</f>
      </c>
      <c r="G107" s="3">
        <f>Assumptions!$B$8</f>
      </c>
      <c r="H107" s="3">
        <f>IF(INDEX(Assumptions!$B$35:$B$47,B107)&lt;&gt;"",INDEX(Assumptions!$B$35:$B$47,B107)/100*Assumptions!$B$2,IF(B107&lt;=Assumptions!$B$17,0,IF(B107&lt;=Assumptions!$B$17+Assumptions!$B$18,Assumptions!$B$19,Assumptions!$B$20)))/12</f>
      </c>
      <c r="I107" s="3">
        <f>IF(Assumptions!$B$12="Cash",0,IF(A107&lt;=Assumptions!$B$15,Monthly!$S$1,0))</f>
      </c>
      <c r="J107" s="3">
        <f>E107-F107-G107-H107-I107</f>
      </c>
      <c r="K107" s="3">
        <f>IF(AND(A107-CEILING(Assumptions!$E$27/30,1)&gt;=1,A107-CEILING(Assumptions!$E$27/30,1)&lt;=156),INDEX($E$2:$E$157,A107-CEILING(Assumptions!$E$27/30,1))*Assumptions!$B$27/100,0)</f>
      </c>
      <c r="L107" s="3">
        <f>IF(AND(A107-CEILING(Assumptions!$E$28/30,1)&gt;=1,A107-CEILING(Assumptions!$E$28/30,1)&lt;=156),INDEX($E$2:$E$157,A107-CEILING(Assumptions!$E$28/30,1))*Assumptions!$B$28/100,0)</f>
      </c>
      <c r="M107" s="3">
        <f>IF(AND(A107-CEILING(Assumptions!$E$29/30,1)&gt;=1,A107-CEILING(Assumptions!$E$29/30,1)&lt;=156),INDEX($E$2:$E$157,A107-CEILING(Assumptions!$E$29/30,1))*Assumptions!$B$29/100,0)</f>
      </c>
      <c r="N107" s="3">
        <f>IF(AND(A107-CEILING(Assumptions!$E$30/30,1)&gt;=1,A107-CEILING(Assumptions!$E$30/30,1)&lt;=156),INDEX($E$2:$E$157,A107-CEILING(Assumptions!$E$30/30,1))*Assumptions!$B$30/100,0)</f>
      </c>
      <c r="O107" s="3">
        <f>IF(AND(A107-CEILING(Assumptions!$E$31/30,1)&gt;=1,A107-CEILING(Assumptions!$E$31/30,1)&lt;=156),INDEX($E$2:$E$157,A107-CEILING(Assumptions!$E$31/30,1))*Assumptions!$B$31/100,0)</f>
      </c>
      <c r="P107" s="3">
        <f>K107+L107+M107+N107+O107</f>
      </c>
      <c r="Q107" s="2"/>
      <c r="R107" s="2"/>
      <c r="S107" s="2"/>
    </row>
    <row r="108" ht="19" customHeight="1" spans="1:19" x14ac:dyDescent="0.25">
      <c r="A108" s="4">
        <v>107</v>
      </c>
      <c r="B108" s="4">
        <v>9</v>
      </c>
      <c r="C108" s="3">
        <f>Assumptions!$B$5*Assumptions!$B$32*Assumptions!$B$6*D108</f>
      </c>
      <c r="D108" s="5">
        <f>IF(A108&lt;=3,Assumptions!$B$21,IF(A108&lt;=6,Assumptions!$B$22,IF(A108&lt;=12,Assumptions!$B$23,Assumptions!$B$24)))/100</f>
      </c>
      <c r="E108" s="3">
        <f>Assumptions!$B$5*Assumptions!$B$33*Assumptions!$B$6*D108</f>
      </c>
      <c r="F108" s="3">
        <f>Assumptions!$B$5*Assumptions!$B$7*Assumptions!$B$6*D108</f>
      </c>
      <c r="G108" s="3">
        <f>Assumptions!$B$8</f>
      </c>
      <c r="H108" s="3">
        <f>IF(INDEX(Assumptions!$B$35:$B$47,B108)&lt;&gt;"",INDEX(Assumptions!$B$35:$B$47,B108)/100*Assumptions!$B$2,IF(B108&lt;=Assumptions!$B$17,0,IF(B108&lt;=Assumptions!$B$17+Assumptions!$B$18,Assumptions!$B$19,Assumptions!$B$20)))/12</f>
      </c>
      <c r="I108" s="3">
        <f>IF(Assumptions!$B$12="Cash",0,IF(A108&lt;=Assumptions!$B$15,Monthly!$S$1,0))</f>
      </c>
      <c r="J108" s="3">
        <f>E108-F108-G108-H108-I108</f>
      </c>
      <c r="K108" s="3">
        <f>IF(AND(A108-CEILING(Assumptions!$E$27/30,1)&gt;=1,A108-CEILING(Assumptions!$E$27/30,1)&lt;=156),INDEX($E$2:$E$157,A108-CEILING(Assumptions!$E$27/30,1))*Assumptions!$B$27/100,0)</f>
      </c>
      <c r="L108" s="3">
        <f>IF(AND(A108-CEILING(Assumptions!$E$28/30,1)&gt;=1,A108-CEILING(Assumptions!$E$28/30,1)&lt;=156),INDEX($E$2:$E$157,A108-CEILING(Assumptions!$E$28/30,1))*Assumptions!$B$28/100,0)</f>
      </c>
      <c r="M108" s="3">
        <f>IF(AND(A108-CEILING(Assumptions!$E$29/30,1)&gt;=1,A108-CEILING(Assumptions!$E$29/30,1)&lt;=156),INDEX($E$2:$E$157,A108-CEILING(Assumptions!$E$29/30,1))*Assumptions!$B$29/100,0)</f>
      </c>
      <c r="N108" s="3">
        <f>IF(AND(A108-CEILING(Assumptions!$E$30/30,1)&gt;=1,A108-CEILING(Assumptions!$E$30/30,1)&lt;=156),INDEX($E$2:$E$157,A108-CEILING(Assumptions!$E$30/30,1))*Assumptions!$B$30/100,0)</f>
      </c>
      <c r="O108" s="3">
        <f>IF(AND(A108-CEILING(Assumptions!$E$31/30,1)&gt;=1,A108-CEILING(Assumptions!$E$31/30,1)&lt;=156),INDEX($E$2:$E$157,A108-CEILING(Assumptions!$E$31/30,1))*Assumptions!$B$31/100,0)</f>
      </c>
      <c r="P108" s="3">
        <f>K108+L108+M108+N108+O108</f>
      </c>
      <c r="Q108" s="2"/>
      <c r="R108" s="2"/>
      <c r="S108" s="2"/>
    </row>
    <row r="109" ht="19" customHeight="1" spans="1:19" x14ac:dyDescent="0.25">
      <c r="A109" s="4">
        <v>108</v>
      </c>
      <c r="B109" s="4">
        <v>9</v>
      </c>
      <c r="C109" s="3">
        <f>Assumptions!$B$5*Assumptions!$B$32*Assumptions!$B$6*D109</f>
      </c>
      <c r="D109" s="5">
        <f>IF(A109&lt;=3,Assumptions!$B$21,IF(A109&lt;=6,Assumptions!$B$22,IF(A109&lt;=12,Assumptions!$B$23,Assumptions!$B$24)))/100</f>
      </c>
      <c r="E109" s="3">
        <f>Assumptions!$B$5*Assumptions!$B$33*Assumptions!$B$6*D109</f>
      </c>
      <c r="F109" s="3">
        <f>Assumptions!$B$5*Assumptions!$B$7*Assumptions!$B$6*D109</f>
      </c>
      <c r="G109" s="3">
        <f>Assumptions!$B$8</f>
      </c>
      <c r="H109" s="3">
        <f>IF(INDEX(Assumptions!$B$35:$B$47,B109)&lt;&gt;"",INDEX(Assumptions!$B$35:$B$47,B109)/100*Assumptions!$B$2,IF(B109&lt;=Assumptions!$B$17,0,IF(B109&lt;=Assumptions!$B$17+Assumptions!$B$18,Assumptions!$B$19,Assumptions!$B$20)))/12</f>
      </c>
      <c r="I109" s="3">
        <f>IF(Assumptions!$B$12="Cash",0,IF(A109&lt;=Assumptions!$B$15,Monthly!$S$1,0))</f>
      </c>
      <c r="J109" s="3">
        <f>E109-F109-G109-H109-I109</f>
      </c>
      <c r="K109" s="3">
        <f>IF(AND(A109-CEILING(Assumptions!$E$27/30,1)&gt;=1,A109-CEILING(Assumptions!$E$27/30,1)&lt;=156),INDEX($E$2:$E$157,A109-CEILING(Assumptions!$E$27/30,1))*Assumptions!$B$27/100,0)</f>
      </c>
      <c r="L109" s="3">
        <f>IF(AND(A109-CEILING(Assumptions!$E$28/30,1)&gt;=1,A109-CEILING(Assumptions!$E$28/30,1)&lt;=156),INDEX($E$2:$E$157,A109-CEILING(Assumptions!$E$28/30,1))*Assumptions!$B$28/100,0)</f>
      </c>
      <c r="M109" s="3">
        <f>IF(AND(A109-CEILING(Assumptions!$E$29/30,1)&gt;=1,A109-CEILING(Assumptions!$E$29/30,1)&lt;=156),INDEX($E$2:$E$157,A109-CEILING(Assumptions!$E$29/30,1))*Assumptions!$B$29/100,0)</f>
      </c>
      <c r="N109" s="3">
        <f>IF(AND(A109-CEILING(Assumptions!$E$30/30,1)&gt;=1,A109-CEILING(Assumptions!$E$30/30,1)&lt;=156),INDEX($E$2:$E$157,A109-CEILING(Assumptions!$E$30/30,1))*Assumptions!$B$30/100,0)</f>
      </c>
      <c r="O109" s="3">
        <f>IF(AND(A109-CEILING(Assumptions!$E$31/30,1)&gt;=1,A109-CEILING(Assumptions!$E$31/30,1)&lt;=156),INDEX($E$2:$E$157,A109-CEILING(Assumptions!$E$31/30,1))*Assumptions!$B$31/100,0)</f>
      </c>
      <c r="P109" s="3">
        <f>K109+L109+M109+N109+O109</f>
      </c>
      <c r="Q109" s="2"/>
      <c r="R109" s="2"/>
      <c r="S109" s="2"/>
    </row>
    <row r="110" ht="19" customHeight="1" spans="1:19" x14ac:dyDescent="0.25">
      <c r="A110" s="4">
        <v>109</v>
      </c>
      <c r="B110" s="4">
        <v>10</v>
      </c>
      <c r="C110" s="3">
        <f>Assumptions!$B$5*Assumptions!$B$32*Assumptions!$B$6*D110</f>
      </c>
      <c r="D110" s="5">
        <f>IF(A110&lt;=3,Assumptions!$B$21,IF(A110&lt;=6,Assumptions!$B$22,IF(A110&lt;=12,Assumptions!$B$23,Assumptions!$B$24)))/100</f>
      </c>
      <c r="E110" s="3">
        <f>Assumptions!$B$5*Assumptions!$B$33*Assumptions!$B$6*D110</f>
      </c>
      <c r="F110" s="3">
        <f>Assumptions!$B$5*Assumptions!$B$7*Assumptions!$B$6*D110</f>
      </c>
      <c r="G110" s="3">
        <f>Assumptions!$B$8</f>
      </c>
      <c r="H110" s="3">
        <f>IF(INDEX(Assumptions!$B$35:$B$47,B110)&lt;&gt;"",INDEX(Assumptions!$B$35:$B$47,B110)/100*Assumptions!$B$2,IF(B110&lt;=Assumptions!$B$17,0,IF(B110&lt;=Assumptions!$B$17+Assumptions!$B$18,Assumptions!$B$19,Assumptions!$B$20)))/12</f>
      </c>
      <c r="I110" s="3">
        <f>IF(Assumptions!$B$12="Cash",0,IF(A110&lt;=Assumptions!$B$15,Monthly!$S$1,0))</f>
      </c>
      <c r="J110" s="3">
        <f>E110-F110-G110-H110-I110</f>
      </c>
      <c r="K110" s="3">
        <f>IF(AND(A110-CEILING(Assumptions!$E$27/30,1)&gt;=1,A110-CEILING(Assumptions!$E$27/30,1)&lt;=156),INDEX($E$2:$E$157,A110-CEILING(Assumptions!$E$27/30,1))*Assumptions!$B$27/100,0)</f>
      </c>
      <c r="L110" s="3">
        <f>IF(AND(A110-CEILING(Assumptions!$E$28/30,1)&gt;=1,A110-CEILING(Assumptions!$E$28/30,1)&lt;=156),INDEX($E$2:$E$157,A110-CEILING(Assumptions!$E$28/30,1))*Assumptions!$B$28/100,0)</f>
      </c>
      <c r="M110" s="3">
        <f>IF(AND(A110-CEILING(Assumptions!$E$29/30,1)&gt;=1,A110-CEILING(Assumptions!$E$29/30,1)&lt;=156),INDEX($E$2:$E$157,A110-CEILING(Assumptions!$E$29/30,1))*Assumptions!$B$29/100,0)</f>
      </c>
      <c r="N110" s="3">
        <f>IF(AND(A110-CEILING(Assumptions!$E$30/30,1)&gt;=1,A110-CEILING(Assumptions!$E$30/30,1)&lt;=156),INDEX($E$2:$E$157,A110-CEILING(Assumptions!$E$30/30,1))*Assumptions!$B$30/100,0)</f>
      </c>
      <c r="O110" s="3">
        <f>IF(AND(A110-CEILING(Assumptions!$E$31/30,1)&gt;=1,A110-CEILING(Assumptions!$E$31/30,1)&lt;=156),INDEX($E$2:$E$157,A110-CEILING(Assumptions!$E$31/30,1))*Assumptions!$B$31/100,0)</f>
      </c>
      <c r="P110" s="3">
        <f>K110+L110+M110+N110+O110</f>
      </c>
      <c r="Q110" s="2"/>
      <c r="R110" s="2"/>
      <c r="S110" s="2"/>
    </row>
    <row r="111" ht="19" customHeight="1" spans="1:19" x14ac:dyDescent="0.25">
      <c r="A111" s="4">
        <v>110</v>
      </c>
      <c r="B111" s="4">
        <v>10</v>
      </c>
      <c r="C111" s="3">
        <f>Assumptions!$B$5*Assumptions!$B$32*Assumptions!$B$6*D111</f>
      </c>
      <c r="D111" s="5">
        <f>IF(A111&lt;=3,Assumptions!$B$21,IF(A111&lt;=6,Assumptions!$B$22,IF(A111&lt;=12,Assumptions!$B$23,Assumptions!$B$24)))/100</f>
      </c>
      <c r="E111" s="3">
        <f>Assumptions!$B$5*Assumptions!$B$33*Assumptions!$B$6*D111</f>
      </c>
      <c r="F111" s="3">
        <f>Assumptions!$B$5*Assumptions!$B$7*Assumptions!$B$6*D111</f>
      </c>
      <c r="G111" s="3">
        <f>Assumptions!$B$8</f>
      </c>
      <c r="H111" s="3">
        <f>IF(INDEX(Assumptions!$B$35:$B$47,B111)&lt;&gt;"",INDEX(Assumptions!$B$35:$B$47,B111)/100*Assumptions!$B$2,IF(B111&lt;=Assumptions!$B$17,0,IF(B111&lt;=Assumptions!$B$17+Assumptions!$B$18,Assumptions!$B$19,Assumptions!$B$20)))/12</f>
      </c>
      <c r="I111" s="3">
        <f>IF(Assumptions!$B$12="Cash",0,IF(A111&lt;=Assumptions!$B$15,Monthly!$S$1,0))</f>
      </c>
      <c r="J111" s="3">
        <f>E111-F111-G111-H111-I111</f>
      </c>
      <c r="K111" s="3">
        <f>IF(AND(A111-CEILING(Assumptions!$E$27/30,1)&gt;=1,A111-CEILING(Assumptions!$E$27/30,1)&lt;=156),INDEX($E$2:$E$157,A111-CEILING(Assumptions!$E$27/30,1))*Assumptions!$B$27/100,0)</f>
      </c>
      <c r="L111" s="3">
        <f>IF(AND(A111-CEILING(Assumptions!$E$28/30,1)&gt;=1,A111-CEILING(Assumptions!$E$28/30,1)&lt;=156),INDEX($E$2:$E$157,A111-CEILING(Assumptions!$E$28/30,1))*Assumptions!$B$28/100,0)</f>
      </c>
      <c r="M111" s="3">
        <f>IF(AND(A111-CEILING(Assumptions!$E$29/30,1)&gt;=1,A111-CEILING(Assumptions!$E$29/30,1)&lt;=156),INDEX($E$2:$E$157,A111-CEILING(Assumptions!$E$29/30,1))*Assumptions!$B$29/100,0)</f>
      </c>
      <c r="N111" s="3">
        <f>IF(AND(A111-CEILING(Assumptions!$E$30/30,1)&gt;=1,A111-CEILING(Assumptions!$E$30/30,1)&lt;=156),INDEX($E$2:$E$157,A111-CEILING(Assumptions!$E$30/30,1))*Assumptions!$B$30/100,0)</f>
      </c>
      <c r="O111" s="3">
        <f>IF(AND(A111-CEILING(Assumptions!$E$31/30,1)&gt;=1,A111-CEILING(Assumptions!$E$31/30,1)&lt;=156),INDEX($E$2:$E$157,A111-CEILING(Assumptions!$E$31/30,1))*Assumptions!$B$31/100,0)</f>
      </c>
      <c r="P111" s="3">
        <f>K111+L111+M111+N111+O111</f>
      </c>
      <c r="Q111" s="2"/>
      <c r="R111" s="2"/>
      <c r="S111" s="2"/>
    </row>
    <row r="112" ht="19" customHeight="1" spans="1:19" x14ac:dyDescent="0.25">
      <c r="A112" s="4">
        <v>111</v>
      </c>
      <c r="B112" s="4">
        <v>10</v>
      </c>
      <c r="C112" s="3">
        <f>Assumptions!$B$5*Assumptions!$B$32*Assumptions!$B$6*D112</f>
      </c>
      <c r="D112" s="5">
        <f>IF(A112&lt;=3,Assumptions!$B$21,IF(A112&lt;=6,Assumptions!$B$22,IF(A112&lt;=12,Assumptions!$B$23,Assumptions!$B$24)))/100</f>
      </c>
      <c r="E112" s="3">
        <f>Assumptions!$B$5*Assumptions!$B$33*Assumptions!$B$6*D112</f>
      </c>
      <c r="F112" s="3">
        <f>Assumptions!$B$5*Assumptions!$B$7*Assumptions!$B$6*D112</f>
      </c>
      <c r="G112" s="3">
        <f>Assumptions!$B$8</f>
      </c>
      <c r="H112" s="3">
        <f>IF(INDEX(Assumptions!$B$35:$B$47,B112)&lt;&gt;"",INDEX(Assumptions!$B$35:$B$47,B112)/100*Assumptions!$B$2,IF(B112&lt;=Assumptions!$B$17,0,IF(B112&lt;=Assumptions!$B$17+Assumptions!$B$18,Assumptions!$B$19,Assumptions!$B$20)))/12</f>
      </c>
      <c r="I112" s="3">
        <f>IF(Assumptions!$B$12="Cash",0,IF(A112&lt;=Assumptions!$B$15,Monthly!$S$1,0))</f>
      </c>
      <c r="J112" s="3">
        <f>E112-F112-G112-H112-I112</f>
      </c>
      <c r="K112" s="3">
        <f>IF(AND(A112-CEILING(Assumptions!$E$27/30,1)&gt;=1,A112-CEILING(Assumptions!$E$27/30,1)&lt;=156),INDEX($E$2:$E$157,A112-CEILING(Assumptions!$E$27/30,1))*Assumptions!$B$27/100,0)</f>
      </c>
      <c r="L112" s="3">
        <f>IF(AND(A112-CEILING(Assumptions!$E$28/30,1)&gt;=1,A112-CEILING(Assumptions!$E$28/30,1)&lt;=156),INDEX($E$2:$E$157,A112-CEILING(Assumptions!$E$28/30,1))*Assumptions!$B$28/100,0)</f>
      </c>
      <c r="M112" s="3">
        <f>IF(AND(A112-CEILING(Assumptions!$E$29/30,1)&gt;=1,A112-CEILING(Assumptions!$E$29/30,1)&lt;=156),INDEX($E$2:$E$157,A112-CEILING(Assumptions!$E$29/30,1))*Assumptions!$B$29/100,0)</f>
      </c>
      <c r="N112" s="3">
        <f>IF(AND(A112-CEILING(Assumptions!$E$30/30,1)&gt;=1,A112-CEILING(Assumptions!$E$30/30,1)&lt;=156),INDEX($E$2:$E$157,A112-CEILING(Assumptions!$E$30/30,1))*Assumptions!$B$30/100,0)</f>
      </c>
      <c r="O112" s="3">
        <f>IF(AND(A112-CEILING(Assumptions!$E$31/30,1)&gt;=1,A112-CEILING(Assumptions!$E$31/30,1)&lt;=156),INDEX($E$2:$E$157,A112-CEILING(Assumptions!$E$31/30,1))*Assumptions!$B$31/100,0)</f>
      </c>
      <c r="P112" s="3">
        <f>K112+L112+M112+N112+O112</f>
      </c>
      <c r="Q112" s="2"/>
      <c r="R112" s="2"/>
      <c r="S112" s="2"/>
    </row>
    <row r="113" ht="19" customHeight="1" spans="1:19" x14ac:dyDescent="0.25">
      <c r="A113" s="4">
        <v>112</v>
      </c>
      <c r="B113" s="4">
        <v>10</v>
      </c>
      <c r="C113" s="3">
        <f>Assumptions!$B$5*Assumptions!$B$32*Assumptions!$B$6*D113</f>
      </c>
      <c r="D113" s="5">
        <f>IF(A113&lt;=3,Assumptions!$B$21,IF(A113&lt;=6,Assumptions!$B$22,IF(A113&lt;=12,Assumptions!$B$23,Assumptions!$B$24)))/100</f>
      </c>
      <c r="E113" s="3">
        <f>Assumptions!$B$5*Assumptions!$B$33*Assumptions!$B$6*D113</f>
      </c>
      <c r="F113" s="3">
        <f>Assumptions!$B$5*Assumptions!$B$7*Assumptions!$B$6*D113</f>
      </c>
      <c r="G113" s="3">
        <f>Assumptions!$B$8</f>
      </c>
      <c r="H113" s="3">
        <f>IF(INDEX(Assumptions!$B$35:$B$47,B113)&lt;&gt;"",INDEX(Assumptions!$B$35:$B$47,B113)/100*Assumptions!$B$2,IF(B113&lt;=Assumptions!$B$17,0,IF(B113&lt;=Assumptions!$B$17+Assumptions!$B$18,Assumptions!$B$19,Assumptions!$B$20)))/12</f>
      </c>
      <c r="I113" s="3">
        <f>IF(Assumptions!$B$12="Cash",0,IF(A113&lt;=Assumptions!$B$15,Monthly!$S$1,0))</f>
      </c>
      <c r="J113" s="3">
        <f>E113-F113-G113-H113-I113</f>
      </c>
      <c r="K113" s="3">
        <f>IF(AND(A113-CEILING(Assumptions!$E$27/30,1)&gt;=1,A113-CEILING(Assumptions!$E$27/30,1)&lt;=156),INDEX($E$2:$E$157,A113-CEILING(Assumptions!$E$27/30,1))*Assumptions!$B$27/100,0)</f>
      </c>
      <c r="L113" s="3">
        <f>IF(AND(A113-CEILING(Assumptions!$E$28/30,1)&gt;=1,A113-CEILING(Assumptions!$E$28/30,1)&lt;=156),INDEX($E$2:$E$157,A113-CEILING(Assumptions!$E$28/30,1))*Assumptions!$B$28/100,0)</f>
      </c>
      <c r="M113" s="3">
        <f>IF(AND(A113-CEILING(Assumptions!$E$29/30,1)&gt;=1,A113-CEILING(Assumptions!$E$29/30,1)&lt;=156),INDEX($E$2:$E$157,A113-CEILING(Assumptions!$E$29/30,1))*Assumptions!$B$29/100,0)</f>
      </c>
      <c r="N113" s="3">
        <f>IF(AND(A113-CEILING(Assumptions!$E$30/30,1)&gt;=1,A113-CEILING(Assumptions!$E$30/30,1)&lt;=156),INDEX($E$2:$E$157,A113-CEILING(Assumptions!$E$30/30,1))*Assumptions!$B$30/100,0)</f>
      </c>
      <c r="O113" s="3">
        <f>IF(AND(A113-CEILING(Assumptions!$E$31/30,1)&gt;=1,A113-CEILING(Assumptions!$E$31/30,1)&lt;=156),INDEX($E$2:$E$157,A113-CEILING(Assumptions!$E$31/30,1))*Assumptions!$B$31/100,0)</f>
      </c>
      <c r="P113" s="3">
        <f>K113+L113+M113+N113+O113</f>
      </c>
      <c r="Q113" s="2"/>
      <c r="R113" s="2"/>
      <c r="S113" s="2"/>
    </row>
    <row r="114" ht="19" customHeight="1" spans="1:19" x14ac:dyDescent="0.25">
      <c r="A114" s="4">
        <v>113</v>
      </c>
      <c r="B114" s="4">
        <v>10</v>
      </c>
      <c r="C114" s="3">
        <f>Assumptions!$B$5*Assumptions!$B$32*Assumptions!$B$6*D114</f>
      </c>
      <c r="D114" s="5">
        <f>IF(A114&lt;=3,Assumptions!$B$21,IF(A114&lt;=6,Assumptions!$B$22,IF(A114&lt;=12,Assumptions!$B$23,Assumptions!$B$24)))/100</f>
      </c>
      <c r="E114" s="3">
        <f>Assumptions!$B$5*Assumptions!$B$33*Assumptions!$B$6*D114</f>
      </c>
      <c r="F114" s="3">
        <f>Assumptions!$B$5*Assumptions!$B$7*Assumptions!$B$6*D114</f>
      </c>
      <c r="G114" s="3">
        <f>Assumptions!$B$8</f>
      </c>
      <c r="H114" s="3">
        <f>IF(INDEX(Assumptions!$B$35:$B$47,B114)&lt;&gt;"",INDEX(Assumptions!$B$35:$B$47,B114)/100*Assumptions!$B$2,IF(B114&lt;=Assumptions!$B$17,0,IF(B114&lt;=Assumptions!$B$17+Assumptions!$B$18,Assumptions!$B$19,Assumptions!$B$20)))/12</f>
      </c>
      <c r="I114" s="3">
        <f>IF(Assumptions!$B$12="Cash",0,IF(A114&lt;=Assumptions!$B$15,Monthly!$S$1,0))</f>
      </c>
      <c r="J114" s="3">
        <f>E114-F114-G114-H114-I114</f>
      </c>
      <c r="K114" s="3">
        <f>IF(AND(A114-CEILING(Assumptions!$E$27/30,1)&gt;=1,A114-CEILING(Assumptions!$E$27/30,1)&lt;=156),INDEX($E$2:$E$157,A114-CEILING(Assumptions!$E$27/30,1))*Assumptions!$B$27/100,0)</f>
      </c>
      <c r="L114" s="3">
        <f>IF(AND(A114-CEILING(Assumptions!$E$28/30,1)&gt;=1,A114-CEILING(Assumptions!$E$28/30,1)&lt;=156),INDEX($E$2:$E$157,A114-CEILING(Assumptions!$E$28/30,1))*Assumptions!$B$28/100,0)</f>
      </c>
      <c r="M114" s="3">
        <f>IF(AND(A114-CEILING(Assumptions!$E$29/30,1)&gt;=1,A114-CEILING(Assumptions!$E$29/30,1)&lt;=156),INDEX($E$2:$E$157,A114-CEILING(Assumptions!$E$29/30,1))*Assumptions!$B$29/100,0)</f>
      </c>
      <c r="N114" s="3">
        <f>IF(AND(A114-CEILING(Assumptions!$E$30/30,1)&gt;=1,A114-CEILING(Assumptions!$E$30/30,1)&lt;=156),INDEX($E$2:$E$157,A114-CEILING(Assumptions!$E$30/30,1))*Assumptions!$B$30/100,0)</f>
      </c>
      <c r="O114" s="3">
        <f>IF(AND(A114-CEILING(Assumptions!$E$31/30,1)&gt;=1,A114-CEILING(Assumptions!$E$31/30,1)&lt;=156),INDEX($E$2:$E$157,A114-CEILING(Assumptions!$E$31/30,1))*Assumptions!$B$31/100,0)</f>
      </c>
      <c r="P114" s="3">
        <f>K114+L114+M114+N114+O114</f>
      </c>
      <c r="Q114" s="2"/>
      <c r="R114" s="2"/>
      <c r="S114" s="2"/>
    </row>
    <row r="115" ht="19" customHeight="1" spans="1:19" x14ac:dyDescent="0.25">
      <c r="A115" s="4">
        <v>114</v>
      </c>
      <c r="B115" s="4">
        <v>10</v>
      </c>
      <c r="C115" s="3">
        <f>Assumptions!$B$5*Assumptions!$B$32*Assumptions!$B$6*D115</f>
      </c>
      <c r="D115" s="5">
        <f>IF(A115&lt;=3,Assumptions!$B$21,IF(A115&lt;=6,Assumptions!$B$22,IF(A115&lt;=12,Assumptions!$B$23,Assumptions!$B$24)))/100</f>
      </c>
      <c r="E115" s="3">
        <f>Assumptions!$B$5*Assumptions!$B$33*Assumptions!$B$6*D115</f>
      </c>
      <c r="F115" s="3">
        <f>Assumptions!$B$5*Assumptions!$B$7*Assumptions!$B$6*D115</f>
      </c>
      <c r="G115" s="3">
        <f>Assumptions!$B$8</f>
      </c>
      <c r="H115" s="3">
        <f>IF(INDEX(Assumptions!$B$35:$B$47,B115)&lt;&gt;"",INDEX(Assumptions!$B$35:$B$47,B115)/100*Assumptions!$B$2,IF(B115&lt;=Assumptions!$B$17,0,IF(B115&lt;=Assumptions!$B$17+Assumptions!$B$18,Assumptions!$B$19,Assumptions!$B$20)))/12</f>
      </c>
      <c r="I115" s="3">
        <f>IF(Assumptions!$B$12="Cash",0,IF(A115&lt;=Assumptions!$B$15,Monthly!$S$1,0))</f>
      </c>
      <c r="J115" s="3">
        <f>E115-F115-G115-H115-I115</f>
      </c>
      <c r="K115" s="3">
        <f>IF(AND(A115-CEILING(Assumptions!$E$27/30,1)&gt;=1,A115-CEILING(Assumptions!$E$27/30,1)&lt;=156),INDEX($E$2:$E$157,A115-CEILING(Assumptions!$E$27/30,1))*Assumptions!$B$27/100,0)</f>
      </c>
      <c r="L115" s="3">
        <f>IF(AND(A115-CEILING(Assumptions!$E$28/30,1)&gt;=1,A115-CEILING(Assumptions!$E$28/30,1)&lt;=156),INDEX($E$2:$E$157,A115-CEILING(Assumptions!$E$28/30,1))*Assumptions!$B$28/100,0)</f>
      </c>
      <c r="M115" s="3">
        <f>IF(AND(A115-CEILING(Assumptions!$E$29/30,1)&gt;=1,A115-CEILING(Assumptions!$E$29/30,1)&lt;=156),INDEX($E$2:$E$157,A115-CEILING(Assumptions!$E$29/30,1))*Assumptions!$B$29/100,0)</f>
      </c>
      <c r="N115" s="3">
        <f>IF(AND(A115-CEILING(Assumptions!$E$30/30,1)&gt;=1,A115-CEILING(Assumptions!$E$30/30,1)&lt;=156),INDEX($E$2:$E$157,A115-CEILING(Assumptions!$E$30/30,1))*Assumptions!$B$30/100,0)</f>
      </c>
      <c r="O115" s="3">
        <f>IF(AND(A115-CEILING(Assumptions!$E$31/30,1)&gt;=1,A115-CEILING(Assumptions!$E$31/30,1)&lt;=156),INDEX($E$2:$E$157,A115-CEILING(Assumptions!$E$31/30,1))*Assumptions!$B$31/100,0)</f>
      </c>
      <c r="P115" s="3">
        <f>K115+L115+M115+N115+O115</f>
      </c>
      <c r="Q115" s="2"/>
      <c r="R115" s="2"/>
      <c r="S115" s="2"/>
    </row>
    <row r="116" ht="19" customHeight="1" spans="1:19" x14ac:dyDescent="0.25">
      <c r="A116" s="4">
        <v>115</v>
      </c>
      <c r="B116" s="4">
        <v>10</v>
      </c>
      <c r="C116" s="3">
        <f>Assumptions!$B$5*Assumptions!$B$32*Assumptions!$B$6*D116</f>
      </c>
      <c r="D116" s="5">
        <f>IF(A116&lt;=3,Assumptions!$B$21,IF(A116&lt;=6,Assumptions!$B$22,IF(A116&lt;=12,Assumptions!$B$23,Assumptions!$B$24)))/100</f>
      </c>
      <c r="E116" s="3">
        <f>Assumptions!$B$5*Assumptions!$B$33*Assumptions!$B$6*D116</f>
      </c>
      <c r="F116" s="3">
        <f>Assumptions!$B$5*Assumptions!$B$7*Assumptions!$B$6*D116</f>
      </c>
      <c r="G116" s="3">
        <f>Assumptions!$B$8</f>
      </c>
      <c r="H116" s="3">
        <f>IF(INDEX(Assumptions!$B$35:$B$47,B116)&lt;&gt;"",INDEX(Assumptions!$B$35:$B$47,B116)/100*Assumptions!$B$2,IF(B116&lt;=Assumptions!$B$17,0,IF(B116&lt;=Assumptions!$B$17+Assumptions!$B$18,Assumptions!$B$19,Assumptions!$B$20)))/12</f>
      </c>
      <c r="I116" s="3">
        <f>IF(Assumptions!$B$12="Cash",0,IF(A116&lt;=Assumptions!$B$15,Monthly!$S$1,0))</f>
      </c>
      <c r="J116" s="3">
        <f>E116-F116-G116-H116-I116</f>
      </c>
      <c r="K116" s="3">
        <f>IF(AND(A116-CEILING(Assumptions!$E$27/30,1)&gt;=1,A116-CEILING(Assumptions!$E$27/30,1)&lt;=156),INDEX($E$2:$E$157,A116-CEILING(Assumptions!$E$27/30,1))*Assumptions!$B$27/100,0)</f>
      </c>
      <c r="L116" s="3">
        <f>IF(AND(A116-CEILING(Assumptions!$E$28/30,1)&gt;=1,A116-CEILING(Assumptions!$E$28/30,1)&lt;=156),INDEX($E$2:$E$157,A116-CEILING(Assumptions!$E$28/30,1))*Assumptions!$B$28/100,0)</f>
      </c>
      <c r="M116" s="3">
        <f>IF(AND(A116-CEILING(Assumptions!$E$29/30,1)&gt;=1,A116-CEILING(Assumptions!$E$29/30,1)&lt;=156),INDEX($E$2:$E$157,A116-CEILING(Assumptions!$E$29/30,1))*Assumptions!$B$29/100,0)</f>
      </c>
      <c r="N116" s="3">
        <f>IF(AND(A116-CEILING(Assumptions!$E$30/30,1)&gt;=1,A116-CEILING(Assumptions!$E$30/30,1)&lt;=156),INDEX($E$2:$E$157,A116-CEILING(Assumptions!$E$30/30,1))*Assumptions!$B$30/100,0)</f>
      </c>
      <c r="O116" s="3">
        <f>IF(AND(A116-CEILING(Assumptions!$E$31/30,1)&gt;=1,A116-CEILING(Assumptions!$E$31/30,1)&lt;=156),INDEX($E$2:$E$157,A116-CEILING(Assumptions!$E$31/30,1))*Assumptions!$B$31/100,0)</f>
      </c>
      <c r="P116" s="3">
        <f>K116+L116+M116+N116+O116</f>
      </c>
      <c r="Q116" s="2"/>
      <c r="R116" s="2"/>
      <c r="S116" s="2"/>
    </row>
    <row r="117" ht="19" customHeight="1" spans="1:19" x14ac:dyDescent="0.25">
      <c r="A117" s="4">
        <v>116</v>
      </c>
      <c r="B117" s="4">
        <v>10</v>
      </c>
      <c r="C117" s="3">
        <f>Assumptions!$B$5*Assumptions!$B$32*Assumptions!$B$6*D117</f>
      </c>
      <c r="D117" s="5">
        <f>IF(A117&lt;=3,Assumptions!$B$21,IF(A117&lt;=6,Assumptions!$B$22,IF(A117&lt;=12,Assumptions!$B$23,Assumptions!$B$24)))/100</f>
      </c>
      <c r="E117" s="3">
        <f>Assumptions!$B$5*Assumptions!$B$33*Assumptions!$B$6*D117</f>
      </c>
      <c r="F117" s="3">
        <f>Assumptions!$B$5*Assumptions!$B$7*Assumptions!$B$6*D117</f>
      </c>
      <c r="G117" s="3">
        <f>Assumptions!$B$8</f>
      </c>
      <c r="H117" s="3">
        <f>IF(INDEX(Assumptions!$B$35:$B$47,B117)&lt;&gt;"",INDEX(Assumptions!$B$35:$B$47,B117)/100*Assumptions!$B$2,IF(B117&lt;=Assumptions!$B$17,0,IF(B117&lt;=Assumptions!$B$17+Assumptions!$B$18,Assumptions!$B$19,Assumptions!$B$20)))/12</f>
      </c>
      <c r="I117" s="3">
        <f>IF(Assumptions!$B$12="Cash",0,IF(A117&lt;=Assumptions!$B$15,Monthly!$S$1,0))</f>
      </c>
      <c r="J117" s="3">
        <f>E117-F117-G117-H117-I117</f>
      </c>
      <c r="K117" s="3">
        <f>IF(AND(A117-CEILING(Assumptions!$E$27/30,1)&gt;=1,A117-CEILING(Assumptions!$E$27/30,1)&lt;=156),INDEX($E$2:$E$157,A117-CEILING(Assumptions!$E$27/30,1))*Assumptions!$B$27/100,0)</f>
      </c>
      <c r="L117" s="3">
        <f>IF(AND(A117-CEILING(Assumptions!$E$28/30,1)&gt;=1,A117-CEILING(Assumptions!$E$28/30,1)&lt;=156),INDEX($E$2:$E$157,A117-CEILING(Assumptions!$E$28/30,1))*Assumptions!$B$28/100,0)</f>
      </c>
      <c r="M117" s="3">
        <f>IF(AND(A117-CEILING(Assumptions!$E$29/30,1)&gt;=1,A117-CEILING(Assumptions!$E$29/30,1)&lt;=156),INDEX($E$2:$E$157,A117-CEILING(Assumptions!$E$29/30,1))*Assumptions!$B$29/100,0)</f>
      </c>
      <c r="N117" s="3">
        <f>IF(AND(A117-CEILING(Assumptions!$E$30/30,1)&gt;=1,A117-CEILING(Assumptions!$E$30/30,1)&lt;=156),INDEX($E$2:$E$157,A117-CEILING(Assumptions!$E$30/30,1))*Assumptions!$B$30/100,0)</f>
      </c>
      <c r="O117" s="3">
        <f>IF(AND(A117-CEILING(Assumptions!$E$31/30,1)&gt;=1,A117-CEILING(Assumptions!$E$31/30,1)&lt;=156),INDEX($E$2:$E$157,A117-CEILING(Assumptions!$E$31/30,1))*Assumptions!$B$31/100,0)</f>
      </c>
      <c r="P117" s="3">
        <f>K117+L117+M117+N117+O117</f>
      </c>
      <c r="Q117" s="2"/>
      <c r="R117" s="2"/>
      <c r="S117" s="2"/>
    </row>
    <row r="118" ht="19" customHeight="1" spans="1:19" x14ac:dyDescent="0.25">
      <c r="A118" s="4">
        <v>117</v>
      </c>
      <c r="B118" s="4">
        <v>10</v>
      </c>
      <c r="C118" s="3">
        <f>Assumptions!$B$5*Assumptions!$B$32*Assumptions!$B$6*D118</f>
      </c>
      <c r="D118" s="5">
        <f>IF(A118&lt;=3,Assumptions!$B$21,IF(A118&lt;=6,Assumptions!$B$22,IF(A118&lt;=12,Assumptions!$B$23,Assumptions!$B$24)))/100</f>
      </c>
      <c r="E118" s="3">
        <f>Assumptions!$B$5*Assumptions!$B$33*Assumptions!$B$6*D118</f>
      </c>
      <c r="F118" s="3">
        <f>Assumptions!$B$5*Assumptions!$B$7*Assumptions!$B$6*D118</f>
      </c>
      <c r="G118" s="3">
        <f>Assumptions!$B$8</f>
      </c>
      <c r="H118" s="3">
        <f>IF(INDEX(Assumptions!$B$35:$B$47,B118)&lt;&gt;"",INDEX(Assumptions!$B$35:$B$47,B118)/100*Assumptions!$B$2,IF(B118&lt;=Assumptions!$B$17,0,IF(B118&lt;=Assumptions!$B$17+Assumptions!$B$18,Assumptions!$B$19,Assumptions!$B$20)))/12</f>
      </c>
      <c r="I118" s="3">
        <f>IF(Assumptions!$B$12="Cash",0,IF(A118&lt;=Assumptions!$B$15,Monthly!$S$1,0))</f>
      </c>
      <c r="J118" s="3">
        <f>E118-F118-G118-H118-I118</f>
      </c>
      <c r="K118" s="3">
        <f>IF(AND(A118-CEILING(Assumptions!$E$27/30,1)&gt;=1,A118-CEILING(Assumptions!$E$27/30,1)&lt;=156),INDEX($E$2:$E$157,A118-CEILING(Assumptions!$E$27/30,1))*Assumptions!$B$27/100,0)</f>
      </c>
      <c r="L118" s="3">
        <f>IF(AND(A118-CEILING(Assumptions!$E$28/30,1)&gt;=1,A118-CEILING(Assumptions!$E$28/30,1)&lt;=156),INDEX($E$2:$E$157,A118-CEILING(Assumptions!$E$28/30,1))*Assumptions!$B$28/100,0)</f>
      </c>
      <c r="M118" s="3">
        <f>IF(AND(A118-CEILING(Assumptions!$E$29/30,1)&gt;=1,A118-CEILING(Assumptions!$E$29/30,1)&lt;=156),INDEX($E$2:$E$157,A118-CEILING(Assumptions!$E$29/30,1))*Assumptions!$B$29/100,0)</f>
      </c>
      <c r="N118" s="3">
        <f>IF(AND(A118-CEILING(Assumptions!$E$30/30,1)&gt;=1,A118-CEILING(Assumptions!$E$30/30,1)&lt;=156),INDEX($E$2:$E$157,A118-CEILING(Assumptions!$E$30/30,1))*Assumptions!$B$30/100,0)</f>
      </c>
      <c r="O118" s="3">
        <f>IF(AND(A118-CEILING(Assumptions!$E$31/30,1)&gt;=1,A118-CEILING(Assumptions!$E$31/30,1)&lt;=156),INDEX($E$2:$E$157,A118-CEILING(Assumptions!$E$31/30,1))*Assumptions!$B$31/100,0)</f>
      </c>
      <c r="P118" s="3">
        <f>K118+L118+M118+N118+O118</f>
      </c>
      <c r="Q118" s="2"/>
      <c r="R118" s="2"/>
      <c r="S118" s="2"/>
    </row>
    <row r="119" ht="19" customHeight="1" spans="1:19" x14ac:dyDescent="0.25">
      <c r="A119" s="4">
        <v>118</v>
      </c>
      <c r="B119" s="4">
        <v>10</v>
      </c>
      <c r="C119" s="3">
        <f>Assumptions!$B$5*Assumptions!$B$32*Assumptions!$B$6*D119</f>
      </c>
      <c r="D119" s="5">
        <f>IF(A119&lt;=3,Assumptions!$B$21,IF(A119&lt;=6,Assumptions!$B$22,IF(A119&lt;=12,Assumptions!$B$23,Assumptions!$B$24)))/100</f>
      </c>
      <c r="E119" s="3">
        <f>Assumptions!$B$5*Assumptions!$B$33*Assumptions!$B$6*D119</f>
      </c>
      <c r="F119" s="3">
        <f>Assumptions!$B$5*Assumptions!$B$7*Assumptions!$B$6*D119</f>
      </c>
      <c r="G119" s="3">
        <f>Assumptions!$B$8</f>
      </c>
      <c r="H119" s="3">
        <f>IF(INDEX(Assumptions!$B$35:$B$47,B119)&lt;&gt;"",INDEX(Assumptions!$B$35:$B$47,B119)/100*Assumptions!$B$2,IF(B119&lt;=Assumptions!$B$17,0,IF(B119&lt;=Assumptions!$B$17+Assumptions!$B$18,Assumptions!$B$19,Assumptions!$B$20)))/12</f>
      </c>
      <c r="I119" s="3">
        <f>IF(Assumptions!$B$12="Cash",0,IF(A119&lt;=Assumptions!$B$15,Monthly!$S$1,0))</f>
      </c>
      <c r="J119" s="3">
        <f>E119-F119-G119-H119-I119</f>
      </c>
      <c r="K119" s="3">
        <f>IF(AND(A119-CEILING(Assumptions!$E$27/30,1)&gt;=1,A119-CEILING(Assumptions!$E$27/30,1)&lt;=156),INDEX($E$2:$E$157,A119-CEILING(Assumptions!$E$27/30,1))*Assumptions!$B$27/100,0)</f>
      </c>
      <c r="L119" s="3">
        <f>IF(AND(A119-CEILING(Assumptions!$E$28/30,1)&gt;=1,A119-CEILING(Assumptions!$E$28/30,1)&lt;=156),INDEX($E$2:$E$157,A119-CEILING(Assumptions!$E$28/30,1))*Assumptions!$B$28/100,0)</f>
      </c>
      <c r="M119" s="3">
        <f>IF(AND(A119-CEILING(Assumptions!$E$29/30,1)&gt;=1,A119-CEILING(Assumptions!$E$29/30,1)&lt;=156),INDEX($E$2:$E$157,A119-CEILING(Assumptions!$E$29/30,1))*Assumptions!$B$29/100,0)</f>
      </c>
      <c r="N119" s="3">
        <f>IF(AND(A119-CEILING(Assumptions!$E$30/30,1)&gt;=1,A119-CEILING(Assumptions!$E$30/30,1)&lt;=156),INDEX($E$2:$E$157,A119-CEILING(Assumptions!$E$30/30,1))*Assumptions!$B$30/100,0)</f>
      </c>
      <c r="O119" s="3">
        <f>IF(AND(A119-CEILING(Assumptions!$E$31/30,1)&gt;=1,A119-CEILING(Assumptions!$E$31/30,1)&lt;=156),INDEX($E$2:$E$157,A119-CEILING(Assumptions!$E$31/30,1))*Assumptions!$B$31/100,0)</f>
      </c>
      <c r="P119" s="3">
        <f>K119+L119+M119+N119+O119</f>
      </c>
      <c r="Q119" s="2"/>
      <c r="R119" s="2"/>
      <c r="S119" s="2"/>
    </row>
    <row r="120" ht="19" customHeight="1" spans="1:19" x14ac:dyDescent="0.25">
      <c r="A120" s="4">
        <v>119</v>
      </c>
      <c r="B120" s="4">
        <v>10</v>
      </c>
      <c r="C120" s="3">
        <f>Assumptions!$B$5*Assumptions!$B$32*Assumptions!$B$6*D120</f>
      </c>
      <c r="D120" s="5">
        <f>IF(A120&lt;=3,Assumptions!$B$21,IF(A120&lt;=6,Assumptions!$B$22,IF(A120&lt;=12,Assumptions!$B$23,Assumptions!$B$24)))/100</f>
      </c>
      <c r="E120" s="3">
        <f>Assumptions!$B$5*Assumptions!$B$33*Assumptions!$B$6*D120</f>
      </c>
      <c r="F120" s="3">
        <f>Assumptions!$B$5*Assumptions!$B$7*Assumptions!$B$6*D120</f>
      </c>
      <c r="G120" s="3">
        <f>Assumptions!$B$8</f>
      </c>
      <c r="H120" s="3">
        <f>IF(INDEX(Assumptions!$B$35:$B$47,B120)&lt;&gt;"",INDEX(Assumptions!$B$35:$B$47,B120)/100*Assumptions!$B$2,IF(B120&lt;=Assumptions!$B$17,0,IF(B120&lt;=Assumptions!$B$17+Assumptions!$B$18,Assumptions!$B$19,Assumptions!$B$20)))/12</f>
      </c>
      <c r="I120" s="3">
        <f>IF(Assumptions!$B$12="Cash",0,IF(A120&lt;=Assumptions!$B$15,Monthly!$S$1,0))</f>
      </c>
      <c r="J120" s="3">
        <f>E120-F120-G120-H120-I120</f>
      </c>
      <c r="K120" s="3">
        <f>IF(AND(A120-CEILING(Assumptions!$E$27/30,1)&gt;=1,A120-CEILING(Assumptions!$E$27/30,1)&lt;=156),INDEX($E$2:$E$157,A120-CEILING(Assumptions!$E$27/30,1))*Assumptions!$B$27/100,0)</f>
      </c>
      <c r="L120" s="3">
        <f>IF(AND(A120-CEILING(Assumptions!$E$28/30,1)&gt;=1,A120-CEILING(Assumptions!$E$28/30,1)&lt;=156),INDEX($E$2:$E$157,A120-CEILING(Assumptions!$E$28/30,1))*Assumptions!$B$28/100,0)</f>
      </c>
      <c r="M120" s="3">
        <f>IF(AND(A120-CEILING(Assumptions!$E$29/30,1)&gt;=1,A120-CEILING(Assumptions!$E$29/30,1)&lt;=156),INDEX($E$2:$E$157,A120-CEILING(Assumptions!$E$29/30,1))*Assumptions!$B$29/100,0)</f>
      </c>
      <c r="N120" s="3">
        <f>IF(AND(A120-CEILING(Assumptions!$E$30/30,1)&gt;=1,A120-CEILING(Assumptions!$E$30/30,1)&lt;=156),INDEX($E$2:$E$157,A120-CEILING(Assumptions!$E$30/30,1))*Assumptions!$B$30/100,0)</f>
      </c>
      <c r="O120" s="3">
        <f>IF(AND(A120-CEILING(Assumptions!$E$31/30,1)&gt;=1,A120-CEILING(Assumptions!$E$31/30,1)&lt;=156),INDEX($E$2:$E$157,A120-CEILING(Assumptions!$E$31/30,1))*Assumptions!$B$31/100,0)</f>
      </c>
      <c r="P120" s="3">
        <f>K120+L120+M120+N120+O120</f>
      </c>
      <c r="Q120" s="2"/>
      <c r="R120" s="2"/>
      <c r="S120" s="2"/>
    </row>
    <row r="121" ht="19" customHeight="1" spans="1:19" x14ac:dyDescent="0.25">
      <c r="A121" s="4">
        <v>120</v>
      </c>
      <c r="B121" s="4">
        <v>10</v>
      </c>
      <c r="C121" s="3">
        <f>Assumptions!$B$5*Assumptions!$B$32*Assumptions!$B$6*D121</f>
      </c>
      <c r="D121" s="5">
        <f>IF(A121&lt;=3,Assumptions!$B$21,IF(A121&lt;=6,Assumptions!$B$22,IF(A121&lt;=12,Assumptions!$B$23,Assumptions!$B$24)))/100</f>
      </c>
      <c r="E121" s="3">
        <f>Assumptions!$B$5*Assumptions!$B$33*Assumptions!$B$6*D121</f>
      </c>
      <c r="F121" s="3">
        <f>Assumptions!$B$5*Assumptions!$B$7*Assumptions!$B$6*D121</f>
      </c>
      <c r="G121" s="3">
        <f>Assumptions!$B$8</f>
      </c>
      <c r="H121" s="3">
        <f>IF(INDEX(Assumptions!$B$35:$B$47,B121)&lt;&gt;"",INDEX(Assumptions!$B$35:$B$47,B121)/100*Assumptions!$B$2,IF(B121&lt;=Assumptions!$B$17,0,IF(B121&lt;=Assumptions!$B$17+Assumptions!$B$18,Assumptions!$B$19,Assumptions!$B$20)))/12</f>
      </c>
      <c r="I121" s="3">
        <f>IF(Assumptions!$B$12="Cash",0,IF(A121&lt;=Assumptions!$B$15,Monthly!$S$1,0))</f>
      </c>
      <c r="J121" s="3">
        <f>E121-F121-G121-H121-I121</f>
      </c>
      <c r="K121" s="3">
        <f>IF(AND(A121-CEILING(Assumptions!$E$27/30,1)&gt;=1,A121-CEILING(Assumptions!$E$27/30,1)&lt;=156),INDEX($E$2:$E$157,A121-CEILING(Assumptions!$E$27/30,1))*Assumptions!$B$27/100,0)</f>
      </c>
      <c r="L121" s="3">
        <f>IF(AND(A121-CEILING(Assumptions!$E$28/30,1)&gt;=1,A121-CEILING(Assumptions!$E$28/30,1)&lt;=156),INDEX($E$2:$E$157,A121-CEILING(Assumptions!$E$28/30,1))*Assumptions!$B$28/100,0)</f>
      </c>
      <c r="M121" s="3">
        <f>IF(AND(A121-CEILING(Assumptions!$E$29/30,1)&gt;=1,A121-CEILING(Assumptions!$E$29/30,1)&lt;=156),INDEX($E$2:$E$157,A121-CEILING(Assumptions!$E$29/30,1))*Assumptions!$B$29/100,0)</f>
      </c>
      <c r="N121" s="3">
        <f>IF(AND(A121-CEILING(Assumptions!$E$30/30,1)&gt;=1,A121-CEILING(Assumptions!$E$30/30,1)&lt;=156),INDEX($E$2:$E$157,A121-CEILING(Assumptions!$E$30/30,1))*Assumptions!$B$30/100,0)</f>
      </c>
      <c r="O121" s="3">
        <f>IF(AND(A121-CEILING(Assumptions!$E$31/30,1)&gt;=1,A121-CEILING(Assumptions!$E$31/30,1)&lt;=156),INDEX($E$2:$E$157,A121-CEILING(Assumptions!$E$31/30,1))*Assumptions!$B$31/100,0)</f>
      </c>
      <c r="P121" s="3">
        <f>K121+L121+M121+N121+O121</f>
      </c>
      <c r="Q121" s="2"/>
      <c r="R121" s="2"/>
      <c r="S121" s="2"/>
    </row>
    <row r="122" ht="19" customHeight="1" spans="1:19" x14ac:dyDescent="0.25">
      <c r="A122" s="4">
        <v>121</v>
      </c>
      <c r="B122" s="4">
        <v>11</v>
      </c>
      <c r="C122" s="3">
        <f>Assumptions!$B$5*Assumptions!$B$32*Assumptions!$B$6*D122</f>
      </c>
      <c r="D122" s="5">
        <f>IF(A122&lt;=3,Assumptions!$B$21,IF(A122&lt;=6,Assumptions!$B$22,IF(A122&lt;=12,Assumptions!$B$23,Assumptions!$B$24)))/100</f>
      </c>
      <c r="E122" s="3">
        <f>Assumptions!$B$5*Assumptions!$B$33*Assumptions!$B$6*D122</f>
      </c>
      <c r="F122" s="3">
        <f>Assumptions!$B$5*Assumptions!$B$7*Assumptions!$B$6*D122</f>
      </c>
      <c r="G122" s="3">
        <f>Assumptions!$B$8</f>
      </c>
      <c r="H122" s="3">
        <f>IF(INDEX(Assumptions!$B$35:$B$47,B122)&lt;&gt;"",INDEX(Assumptions!$B$35:$B$47,B122)/100*Assumptions!$B$2,IF(B122&lt;=Assumptions!$B$17,0,IF(B122&lt;=Assumptions!$B$17+Assumptions!$B$18,Assumptions!$B$19,Assumptions!$B$20)))/12</f>
      </c>
      <c r="I122" s="3">
        <f>IF(Assumptions!$B$12="Cash",0,IF(A122&lt;=Assumptions!$B$15,Monthly!$S$1,0))</f>
      </c>
      <c r="J122" s="3">
        <f>E122-F122-G122-H122-I122</f>
      </c>
      <c r="K122" s="3">
        <f>IF(AND(A122-CEILING(Assumptions!$E$27/30,1)&gt;=1,A122-CEILING(Assumptions!$E$27/30,1)&lt;=156),INDEX($E$2:$E$157,A122-CEILING(Assumptions!$E$27/30,1))*Assumptions!$B$27/100,0)</f>
      </c>
      <c r="L122" s="3">
        <f>IF(AND(A122-CEILING(Assumptions!$E$28/30,1)&gt;=1,A122-CEILING(Assumptions!$E$28/30,1)&lt;=156),INDEX($E$2:$E$157,A122-CEILING(Assumptions!$E$28/30,1))*Assumptions!$B$28/100,0)</f>
      </c>
      <c r="M122" s="3">
        <f>IF(AND(A122-CEILING(Assumptions!$E$29/30,1)&gt;=1,A122-CEILING(Assumptions!$E$29/30,1)&lt;=156),INDEX($E$2:$E$157,A122-CEILING(Assumptions!$E$29/30,1))*Assumptions!$B$29/100,0)</f>
      </c>
      <c r="N122" s="3">
        <f>IF(AND(A122-CEILING(Assumptions!$E$30/30,1)&gt;=1,A122-CEILING(Assumptions!$E$30/30,1)&lt;=156),INDEX($E$2:$E$157,A122-CEILING(Assumptions!$E$30/30,1))*Assumptions!$B$30/100,0)</f>
      </c>
      <c r="O122" s="3">
        <f>IF(AND(A122-CEILING(Assumptions!$E$31/30,1)&gt;=1,A122-CEILING(Assumptions!$E$31/30,1)&lt;=156),INDEX($E$2:$E$157,A122-CEILING(Assumptions!$E$31/30,1))*Assumptions!$B$31/100,0)</f>
      </c>
      <c r="P122" s="3">
        <f>K122+L122+M122+N122+O122</f>
      </c>
      <c r="Q122" s="2"/>
      <c r="R122" s="2"/>
      <c r="S122" s="2"/>
    </row>
    <row r="123" ht="19" customHeight="1" spans="1:19" x14ac:dyDescent="0.25">
      <c r="A123" s="4">
        <v>122</v>
      </c>
      <c r="B123" s="4">
        <v>11</v>
      </c>
      <c r="C123" s="3">
        <f>Assumptions!$B$5*Assumptions!$B$32*Assumptions!$B$6*D123</f>
      </c>
      <c r="D123" s="5">
        <f>IF(A123&lt;=3,Assumptions!$B$21,IF(A123&lt;=6,Assumptions!$B$22,IF(A123&lt;=12,Assumptions!$B$23,Assumptions!$B$24)))/100</f>
      </c>
      <c r="E123" s="3">
        <f>Assumptions!$B$5*Assumptions!$B$33*Assumptions!$B$6*D123</f>
      </c>
      <c r="F123" s="3">
        <f>Assumptions!$B$5*Assumptions!$B$7*Assumptions!$B$6*D123</f>
      </c>
      <c r="G123" s="3">
        <f>Assumptions!$B$8</f>
      </c>
      <c r="H123" s="3">
        <f>IF(INDEX(Assumptions!$B$35:$B$47,B123)&lt;&gt;"",INDEX(Assumptions!$B$35:$B$47,B123)/100*Assumptions!$B$2,IF(B123&lt;=Assumptions!$B$17,0,IF(B123&lt;=Assumptions!$B$17+Assumptions!$B$18,Assumptions!$B$19,Assumptions!$B$20)))/12</f>
      </c>
      <c r="I123" s="3">
        <f>IF(Assumptions!$B$12="Cash",0,IF(A123&lt;=Assumptions!$B$15,Monthly!$S$1,0))</f>
      </c>
      <c r="J123" s="3">
        <f>E123-F123-G123-H123-I123</f>
      </c>
      <c r="K123" s="3">
        <f>IF(AND(A123-CEILING(Assumptions!$E$27/30,1)&gt;=1,A123-CEILING(Assumptions!$E$27/30,1)&lt;=156),INDEX($E$2:$E$157,A123-CEILING(Assumptions!$E$27/30,1))*Assumptions!$B$27/100,0)</f>
      </c>
      <c r="L123" s="3">
        <f>IF(AND(A123-CEILING(Assumptions!$E$28/30,1)&gt;=1,A123-CEILING(Assumptions!$E$28/30,1)&lt;=156),INDEX($E$2:$E$157,A123-CEILING(Assumptions!$E$28/30,1))*Assumptions!$B$28/100,0)</f>
      </c>
      <c r="M123" s="3">
        <f>IF(AND(A123-CEILING(Assumptions!$E$29/30,1)&gt;=1,A123-CEILING(Assumptions!$E$29/30,1)&lt;=156),INDEX($E$2:$E$157,A123-CEILING(Assumptions!$E$29/30,1))*Assumptions!$B$29/100,0)</f>
      </c>
      <c r="N123" s="3">
        <f>IF(AND(A123-CEILING(Assumptions!$E$30/30,1)&gt;=1,A123-CEILING(Assumptions!$E$30/30,1)&lt;=156),INDEX($E$2:$E$157,A123-CEILING(Assumptions!$E$30/30,1))*Assumptions!$B$30/100,0)</f>
      </c>
      <c r="O123" s="3">
        <f>IF(AND(A123-CEILING(Assumptions!$E$31/30,1)&gt;=1,A123-CEILING(Assumptions!$E$31/30,1)&lt;=156),INDEX($E$2:$E$157,A123-CEILING(Assumptions!$E$31/30,1))*Assumptions!$B$31/100,0)</f>
      </c>
      <c r="P123" s="3">
        <f>K123+L123+M123+N123+O123</f>
      </c>
      <c r="Q123" s="2"/>
      <c r="R123" s="2"/>
      <c r="S123" s="2"/>
    </row>
    <row r="124" ht="19" customHeight="1" spans="1:19" x14ac:dyDescent="0.25">
      <c r="A124" s="4">
        <v>123</v>
      </c>
      <c r="B124" s="4">
        <v>11</v>
      </c>
      <c r="C124" s="3">
        <f>Assumptions!$B$5*Assumptions!$B$32*Assumptions!$B$6*D124</f>
      </c>
      <c r="D124" s="5">
        <f>IF(A124&lt;=3,Assumptions!$B$21,IF(A124&lt;=6,Assumptions!$B$22,IF(A124&lt;=12,Assumptions!$B$23,Assumptions!$B$24)))/100</f>
      </c>
      <c r="E124" s="3">
        <f>Assumptions!$B$5*Assumptions!$B$33*Assumptions!$B$6*D124</f>
      </c>
      <c r="F124" s="3">
        <f>Assumptions!$B$5*Assumptions!$B$7*Assumptions!$B$6*D124</f>
      </c>
      <c r="G124" s="3">
        <f>Assumptions!$B$8</f>
      </c>
      <c r="H124" s="3">
        <f>IF(INDEX(Assumptions!$B$35:$B$47,B124)&lt;&gt;"",INDEX(Assumptions!$B$35:$B$47,B124)/100*Assumptions!$B$2,IF(B124&lt;=Assumptions!$B$17,0,IF(B124&lt;=Assumptions!$B$17+Assumptions!$B$18,Assumptions!$B$19,Assumptions!$B$20)))/12</f>
      </c>
      <c r="I124" s="3">
        <f>IF(Assumptions!$B$12="Cash",0,IF(A124&lt;=Assumptions!$B$15,Monthly!$S$1,0))</f>
      </c>
      <c r="J124" s="3">
        <f>E124-F124-G124-H124-I124</f>
      </c>
      <c r="K124" s="3">
        <f>IF(AND(A124-CEILING(Assumptions!$E$27/30,1)&gt;=1,A124-CEILING(Assumptions!$E$27/30,1)&lt;=156),INDEX($E$2:$E$157,A124-CEILING(Assumptions!$E$27/30,1))*Assumptions!$B$27/100,0)</f>
      </c>
      <c r="L124" s="3">
        <f>IF(AND(A124-CEILING(Assumptions!$E$28/30,1)&gt;=1,A124-CEILING(Assumptions!$E$28/30,1)&lt;=156),INDEX($E$2:$E$157,A124-CEILING(Assumptions!$E$28/30,1))*Assumptions!$B$28/100,0)</f>
      </c>
      <c r="M124" s="3">
        <f>IF(AND(A124-CEILING(Assumptions!$E$29/30,1)&gt;=1,A124-CEILING(Assumptions!$E$29/30,1)&lt;=156),INDEX($E$2:$E$157,A124-CEILING(Assumptions!$E$29/30,1))*Assumptions!$B$29/100,0)</f>
      </c>
      <c r="N124" s="3">
        <f>IF(AND(A124-CEILING(Assumptions!$E$30/30,1)&gt;=1,A124-CEILING(Assumptions!$E$30/30,1)&lt;=156),INDEX($E$2:$E$157,A124-CEILING(Assumptions!$E$30/30,1))*Assumptions!$B$30/100,0)</f>
      </c>
      <c r="O124" s="3">
        <f>IF(AND(A124-CEILING(Assumptions!$E$31/30,1)&gt;=1,A124-CEILING(Assumptions!$E$31/30,1)&lt;=156),INDEX($E$2:$E$157,A124-CEILING(Assumptions!$E$31/30,1))*Assumptions!$B$31/100,0)</f>
      </c>
      <c r="P124" s="3">
        <f>K124+L124+M124+N124+O124</f>
      </c>
      <c r="Q124" s="2"/>
      <c r="R124" s="2"/>
      <c r="S124" s="2"/>
    </row>
    <row r="125" ht="19" customHeight="1" spans="1:19" x14ac:dyDescent="0.25">
      <c r="A125" s="4">
        <v>124</v>
      </c>
      <c r="B125" s="4">
        <v>11</v>
      </c>
      <c r="C125" s="3">
        <f>Assumptions!$B$5*Assumptions!$B$32*Assumptions!$B$6*D125</f>
      </c>
      <c r="D125" s="5">
        <f>IF(A125&lt;=3,Assumptions!$B$21,IF(A125&lt;=6,Assumptions!$B$22,IF(A125&lt;=12,Assumptions!$B$23,Assumptions!$B$24)))/100</f>
      </c>
      <c r="E125" s="3">
        <f>Assumptions!$B$5*Assumptions!$B$33*Assumptions!$B$6*D125</f>
      </c>
      <c r="F125" s="3">
        <f>Assumptions!$B$5*Assumptions!$B$7*Assumptions!$B$6*D125</f>
      </c>
      <c r="G125" s="3">
        <f>Assumptions!$B$8</f>
      </c>
      <c r="H125" s="3">
        <f>IF(INDEX(Assumptions!$B$35:$B$47,B125)&lt;&gt;"",INDEX(Assumptions!$B$35:$B$47,B125)/100*Assumptions!$B$2,IF(B125&lt;=Assumptions!$B$17,0,IF(B125&lt;=Assumptions!$B$17+Assumptions!$B$18,Assumptions!$B$19,Assumptions!$B$20)))/12</f>
      </c>
      <c r="I125" s="3">
        <f>IF(Assumptions!$B$12="Cash",0,IF(A125&lt;=Assumptions!$B$15,Monthly!$S$1,0))</f>
      </c>
      <c r="J125" s="3">
        <f>E125-F125-G125-H125-I125</f>
      </c>
      <c r="K125" s="3">
        <f>IF(AND(A125-CEILING(Assumptions!$E$27/30,1)&gt;=1,A125-CEILING(Assumptions!$E$27/30,1)&lt;=156),INDEX($E$2:$E$157,A125-CEILING(Assumptions!$E$27/30,1))*Assumptions!$B$27/100,0)</f>
      </c>
      <c r="L125" s="3">
        <f>IF(AND(A125-CEILING(Assumptions!$E$28/30,1)&gt;=1,A125-CEILING(Assumptions!$E$28/30,1)&lt;=156),INDEX($E$2:$E$157,A125-CEILING(Assumptions!$E$28/30,1))*Assumptions!$B$28/100,0)</f>
      </c>
      <c r="M125" s="3">
        <f>IF(AND(A125-CEILING(Assumptions!$E$29/30,1)&gt;=1,A125-CEILING(Assumptions!$E$29/30,1)&lt;=156),INDEX($E$2:$E$157,A125-CEILING(Assumptions!$E$29/30,1))*Assumptions!$B$29/100,0)</f>
      </c>
      <c r="N125" s="3">
        <f>IF(AND(A125-CEILING(Assumptions!$E$30/30,1)&gt;=1,A125-CEILING(Assumptions!$E$30/30,1)&lt;=156),INDEX($E$2:$E$157,A125-CEILING(Assumptions!$E$30/30,1))*Assumptions!$B$30/100,0)</f>
      </c>
      <c r="O125" s="3">
        <f>IF(AND(A125-CEILING(Assumptions!$E$31/30,1)&gt;=1,A125-CEILING(Assumptions!$E$31/30,1)&lt;=156),INDEX($E$2:$E$157,A125-CEILING(Assumptions!$E$31/30,1))*Assumptions!$B$31/100,0)</f>
      </c>
      <c r="P125" s="3">
        <f>K125+L125+M125+N125+O125</f>
      </c>
      <c r="Q125" s="2"/>
      <c r="R125" s="2"/>
      <c r="S125" s="2"/>
    </row>
    <row r="126" ht="19" customHeight="1" spans="1:19" x14ac:dyDescent="0.25">
      <c r="A126" s="4">
        <v>125</v>
      </c>
      <c r="B126" s="4">
        <v>11</v>
      </c>
      <c r="C126" s="3">
        <f>Assumptions!$B$5*Assumptions!$B$32*Assumptions!$B$6*D126</f>
      </c>
      <c r="D126" s="5">
        <f>IF(A126&lt;=3,Assumptions!$B$21,IF(A126&lt;=6,Assumptions!$B$22,IF(A126&lt;=12,Assumptions!$B$23,Assumptions!$B$24)))/100</f>
      </c>
      <c r="E126" s="3">
        <f>Assumptions!$B$5*Assumptions!$B$33*Assumptions!$B$6*D126</f>
      </c>
      <c r="F126" s="3">
        <f>Assumptions!$B$5*Assumptions!$B$7*Assumptions!$B$6*D126</f>
      </c>
      <c r="G126" s="3">
        <f>Assumptions!$B$8</f>
      </c>
      <c r="H126" s="3">
        <f>IF(INDEX(Assumptions!$B$35:$B$47,B126)&lt;&gt;"",INDEX(Assumptions!$B$35:$B$47,B126)/100*Assumptions!$B$2,IF(B126&lt;=Assumptions!$B$17,0,IF(B126&lt;=Assumptions!$B$17+Assumptions!$B$18,Assumptions!$B$19,Assumptions!$B$20)))/12</f>
      </c>
      <c r="I126" s="3">
        <f>IF(Assumptions!$B$12="Cash",0,IF(A126&lt;=Assumptions!$B$15,Monthly!$S$1,0))</f>
      </c>
      <c r="J126" s="3">
        <f>E126-F126-G126-H126-I126</f>
      </c>
      <c r="K126" s="3">
        <f>IF(AND(A126-CEILING(Assumptions!$E$27/30,1)&gt;=1,A126-CEILING(Assumptions!$E$27/30,1)&lt;=156),INDEX($E$2:$E$157,A126-CEILING(Assumptions!$E$27/30,1))*Assumptions!$B$27/100,0)</f>
      </c>
      <c r="L126" s="3">
        <f>IF(AND(A126-CEILING(Assumptions!$E$28/30,1)&gt;=1,A126-CEILING(Assumptions!$E$28/30,1)&lt;=156),INDEX($E$2:$E$157,A126-CEILING(Assumptions!$E$28/30,1))*Assumptions!$B$28/100,0)</f>
      </c>
      <c r="M126" s="3">
        <f>IF(AND(A126-CEILING(Assumptions!$E$29/30,1)&gt;=1,A126-CEILING(Assumptions!$E$29/30,1)&lt;=156),INDEX($E$2:$E$157,A126-CEILING(Assumptions!$E$29/30,1))*Assumptions!$B$29/100,0)</f>
      </c>
      <c r="N126" s="3">
        <f>IF(AND(A126-CEILING(Assumptions!$E$30/30,1)&gt;=1,A126-CEILING(Assumptions!$E$30/30,1)&lt;=156),INDEX($E$2:$E$157,A126-CEILING(Assumptions!$E$30/30,1))*Assumptions!$B$30/100,0)</f>
      </c>
      <c r="O126" s="3">
        <f>IF(AND(A126-CEILING(Assumptions!$E$31/30,1)&gt;=1,A126-CEILING(Assumptions!$E$31/30,1)&lt;=156),INDEX($E$2:$E$157,A126-CEILING(Assumptions!$E$31/30,1))*Assumptions!$B$31/100,0)</f>
      </c>
      <c r="P126" s="3">
        <f>K126+L126+M126+N126+O126</f>
      </c>
      <c r="Q126" s="2"/>
      <c r="R126" s="2"/>
      <c r="S126" s="2"/>
    </row>
    <row r="127" ht="19" customHeight="1" spans="1:19" x14ac:dyDescent="0.25">
      <c r="A127" s="4">
        <v>126</v>
      </c>
      <c r="B127" s="4">
        <v>11</v>
      </c>
      <c r="C127" s="3">
        <f>Assumptions!$B$5*Assumptions!$B$32*Assumptions!$B$6*D127</f>
      </c>
      <c r="D127" s="5">
        <f>IF(A127&lt;=3,Assumptions!$B$21,IF(A127&lt;=6,Assumptions!$B$22,IF(A127&lt;=12,Assumptions!$B$23,Assumptions!$B$24)))/100</f>
      </c>
      <c r="E127" s="3">
        <f>Assumptions!$B$5*Assumptions!$B$33*Assumptions!$B$6*D127</f>
      </c>
      <c r="F127" s="3">
        <f>Assumptions!$B$5*Assumptions!$B$7*Assumptions!$B$6*D127</f>
      </c>
      <c r="G127" s="3">
        <f>Assumptions!$B$8</f>
      </c>
      <c r="H127" s="3">
        <f>IF(INDEX(Assumptions!$B$35:$B$47,B127)&lt;&gt;"",INDEX(Assumptions!$B$35:$B$47,B127)/100*Assumptions!$B$2,IF(B127&lt;=Assumptions!$B$17,0,IF(B127&lt;=Assumptions!$B$17+Assumptions!$B$18,Assumptions!$B$19,Assumptions!$B$20)))/12</f>
      </c>
      <c r="I127" s="3">
        <f>IF(Assumptions!$B$12="Cash",0,IF(A127&lt;=Assumptions!$B$15,Monthly!$S$1,0))</f>
      </c>
      <c r="J127" s="3">
        <f>E127-F127-G127-H127-I127</f>
      </c>
      <c r="K127" s="3">
        <f>IF(AND(A127-CEILING(Assumptions!$E$27/30,1)&gt;=1,A127-CEILING(Assumptions!$E$27/30,1)&lt;=156),INDEX($E$2:$E$157,A127-CEILING(Assumptions!$E$27/30,1))*Assumptions!$B$27/100,0)</f>
      </c>
      <c r="L127" s="3">
        <f>IF(AND(A127-CEILING(Assumptions!$E$28/30,1)&gt;=1,A127-CEILING(Assumptions!$E$28/30,1)&lt;=156),INDEX($E$2:$E$157,A127-CEILING(Assumptions!$E$28/30,1))*Assumptions!$B$28/100,0)</f>
      </c>
      <c r="M127" s="3">
        <f>IF(AND(A127-CEILING(Assumptions!$E$29/30,1)&gt;=1,A127-CEILING(Assumptions!$E$29/30,1)&lt;=156),INDEX($E$2:$E$157,A127-CEILING(Assumptions!$E$29/30,1))*Assumptions!$B$29/100,0)</f>
      </c>
      <c r="N127" s="3">
        <f>IF(AND(A127-CEILING(Assumptions!$E$30/30,1)&gt;=1,A127-CEILING(Assumptions!$E$30/30,1)&lt;=156),INDEX($E$2:$E$157,A127-CEILING(Assumptions!$E$30/30,1))*Assumptions!$B$30/100,0)</f>
      </c>
      <c r="O127" s="3">
        <f>IF(AND(A127-CEILING(Assumptions!$E$31/30,1)&gt;=1,A127-CEILING(Assumptions!$E$31/30,1)&lt;=156),INDEX($E$2:$E$157,A127-CEILING(Assumptions!$E$31/30,1))*Assumptions!$B$31/100,0)</f>
      </c>
      <c r="P127" s="3">
        <f>K127+L127+M127+N127+O127</f>
      </c>
      <c r="Q127" s="2"/>
      <c r="R127" s="2"/>
      <c r="S127" s="2"/>
    </row>
    <row r="128" ht="19" customHeight="1" spans="1:19" x14ac:dyDescent="0.25">
      <c r="A128" s="4">
        <v>127</v>
      </c>
      <c r="B128" s="4">
        <v>11</v>
      </c>
      <c r="C128" s="3">
        <f>Assumptions!$B$5*Assumptions!$B$32*Assumptions!$B$6*D128</f>
      </c>
      <c r="D128" s="5">
        <f>IF(A128&lt;=3,Assumptions!$B$21,IF(A128&lt;=6,Assumptions!$B$22,IF(A128&lt;=12,Assumptions!$B$23,Assumptions!$B$24)))/100</f>
      </c>
      <c r="E128" s="3">
        <f>Assumptions!$B$5*Assumptions!$B$33*Assumptions!$B$6*D128</f>
      </c>
      <c r="F128" s="3">
        <f>Assumptions!$B$5*Assumptions!$B$7*Assumptions!$B$6*D128</f>
      </c>
      <c r="G128" s="3">
        <f>Assumptions!$B$8</f>
      </c>
      <c r="H128" s="3">
        <f>IF(INDEX(Assumptions!$B$35:$B$47,B128)&lt;&gt;"",INDEX(Assumptions!$B$35:$B$47,B128)/100*Assumptions!$B$2,IF(B128&lt;=Assumptions!$B$17,0,IF(B128&lt;=Assumptions!$B$17+Assumptions!$B$18,Assumptions!$B$19,Assumptions!$B$20)))/12</f>
      </c>
      <c r="I128" s="3">
        <f>IF(Assumptions!$B$12="Cash",0,IF(A128&lt;=Assumptions!$B$15,Monthly!$S$1,0))</f>
      </c>
      <c r="J128" s="3">
        <f>E128-F128-G128-H128-I128</f>
      </c>
      <c r="K128" s="3">
        <f>IF(AND(A128-CEILING(Assumptions!$E$27/30,1)&gt;=1,A128-CEILING(Assumptions!$E$27/30,1)&lt;=156),INDEX($E$2:$E$157,A128-CEILING(Assumptions!$E$27/30,1))*Assumptions!$B$27/100,0)</f>
      </c>
      <c r="L128" s="3">
        <f>IF(AND(A128-CEILING(Assumptions!$E$28/30,1)&gt;=1,A128-CEILING(Assumptions!$E$28/30,1)&lt;=156),INDEX($E$2:$E$157,A128-CEILING(Assumptions!$E$28/30,1))*Assumptions!$B$28/100,0)</f>
      </c>
      <c r="M128" s="3">
        <f>IF(AND(A128-CEILING(Assumptions!$E$29/30,1)&gt;=1,A128-CEILING(Assumptions!$E$29/30,1)&lt;=156),INDEX($E$2:$E$157,A128-CEILING(Assumptions!$E$29/30,1))*Assumptions!$B$29/100,0)</f>
      </c>
      <c r="N128" s="3">
        <f>IF(AND(A128-CEILING(Assumptions!$E$30/30,1)&gt;=1,A128-CEILING(Assumptions!$E$30/30,1)&lt;=156),INDEX($E$2:$E$157,A128-CEILING(Assumptions!$E$30/30,1))*Assumptions!$B$30/100,0)</f>
      </c>
      <c r="O128" s="3">
        <f>IF(AND(A128-CEILING(Assumptions!$E$31/30,1)&gt;=1,A128-CEILING(Assumptions!$E$31/30,1)&lt;=156),INDEX($E$2:$E$157,A128-CEILING(Assumptions!$E$31/30,1))*Assumptions!$B$31/100,0)</f>
      </c>
      <c r="P128" s="3">
        <f>K128+L128+M128+N128+O128</f>
      </c>
      <c r="Q128" s="2"/>
      <c r="R128" s="2"/>
      <c r="S128" s="2"/>
    </row>
    <row r="129" ht="19" customHeight="1" spans="1:19" x14ac:dyDescent="0.25">
      <c r="A129" s="4">
        <v>128</v>
      </c>
      <c r="B129" s="4">
        <v>11</v>
      </c>
      <c r="C129" s="3">
        <f>Assumptions!$B$5*Assumptions!$B$32*Assumptions!$B$6*D129</f>
      </c>
      <c r="D129" s="5">
        <f>IF(A129&lt;=3,Assumptions!$B$21,IF(A129&lt;=6,Assumptions!$B$22,IF(A129&lt;=12,Assumptions!$B$23,Assumptions!$B$24)))/100</f>
      </c>
      <c r="E129" s="3">
        <f>Assumptions!$B$5*Assumptions!$B$33*Assumptions!$B$6*D129</f>
      </c>
      <c r="F129" s="3">
        <f>Assumptions!$B$5*Assumptions!$B$7*Assumptions!$B$6*D129</f>
      </c>
      <c r="G129" s="3">
        <f>Assumptions!$B$8</f>
      </c>
      <c r="H129" s="3">
        <f>IF(INDEX(Assumptions!$B$35:$B$47,B129)&lt;&gt;"",INDEX(Assumptions!$B$35:$B$47,B129)/100*Assumptions!$B$2,IF(B129&lt;=Assumptions!$B$17,0,IF(B129&lt;=Assumptions!$B$17+Assumptions!$B$18,Assumptions!$B$19,Assumptions!$B$20)))/12</f>
      </c>
      <c r="I129" s="3">
        <f>IF(Assumptions!$B$12="Cash",0,IF(A129&lt;=Assumptions!$B$15,Monthly!$S$1,0))</f>
      </c>
      <c r="J129" s="3">
        <f>E129-F129-G129-H129-I129</f>
      </c>
      <c r="K129" s="3">
        <f>IF(AND(A129-CEILING(Assumptions!$E$27/30,1)&gt;=1,A129-CEILING(Assumptions!$E$27/30,1)&lt;=156),INDEX($E$2:$E$157,A129-CEILING(Assumptions!$E$27/30,1))*Assumptions!$B$27/100,0)</f>
      </c>
      <c r="L129" s="3">
        <f>IF(AND(A129-CEILING(Assumptions!$E$28/30,1)&gt;=1,A129-CEILING(Assumptions!$E$28/30,1)&lt;=156),INDEX($E$2:$E$157,A129-CEILING(Assumptions!$E$28/30,1))*Assumptions!$B$28/100,0)</f>
      </c>
      <c r="M129" s="3">
        <f>IF(AND(A129-CEILING(Assumptions!$E$29/30,1)&gt;=1,A129-CEILING(Assumptions!$E$29/30,1)&lt;=156),INDEX($E$2:$E$157,A129-CEILING(Assumptions!$E$29/30,1))*Assumptions!$B$29/100,0)</f>
      </c>
      <c r="N129" s="3">
        <f>IF(AND(A129-CEILING(Assumptions!$E$30/30,1)&gt;=1,A129-CEILING(Assumptions!$E$30/30,1)&lt;=156),INDEX($E$2:$E$157,A129-CEILING(Assumptions!$E$30/30,1))*Assumptions!$B$30/100,0)</f>
      </c>
      <c r="O129" s="3">
        <f>IF(AND(A129-CEILING(Assumptions!$E$31/30,1)&gt;=1,A129-CEILING(Assumptions!$E$31/30,1)&lt;=156),INDEX($E$2:$E$157,A129-CEILING(Assumptions!$E$31/30,1))*Assumptions!$B$31/100,0)</f>
      </c>
      <c r="P129" s="3">
        <f>K129+L129+M129+N129+O129</f>
      </c>
      <c r="Q129" s="2"/>
      <c r="R129" s="2"/>
      <c r="S129" s="2"/>
    </row>
    <row r="130" ht="19" customHeight="1" spans="1:19" x14ac:dyDescent="0.25">
      <c r="A130" s="4">
        <v>129</v>
      </c>
      <c r="B130" s="4">
        <v>11</v>
      </c>
      <c r="C130" s="3">
        <f>Assumptions!$B$5*Assumptions!$B$32*Assumptions!$B$6*D130</f>
      </c>
      <c r="D130" s="5">
        <f>IF(A130&lt;=3,Assumptions!$B$21,IF(A130&lt;=6,Assumptions!$B$22,IF(A130&lt;=12,Assumptions!$B$23,Assumptions!$B$24)))/100</f>
      </c>
      <c r="E130" s="3">
        <f>Assumptions!$B$5*Assumptions!$B$33*Assumptions!$B$6*D130</f>
      </c>
      <c r="F130" s="3">
        <f>Assumptions!$B$5*Assumptions!$B$7*Assumptions!$B$6*D130</f>
      </c>
      <c r="G130" s="3">
        <f>Assumptions!$B$8</f>
      </c>
      <c r="H130" s="3">
        <f>IF(INDEX(Assumptions!$B$35:$B$47,B130)&lt;&gt;"",INDEX(Assumptions!$B$35:$B$47,B130)/100*Assumptions!$B$2,IF(B130&lt;=Assumptions!$B$17,0,IF(B130&lt;=Assumptions!$B$17+Assumptions!$B$18,Assumptions!$B$19,Assumptions!$B$20)))/12</f>
      </c>
      <c r="I130" s="3">
        <f>IF(Assumptions!$B$12="Cash",0,IF(A130&lt;=Assumptions!$B$15,Monthly!$S$1,0))</f>
      </c>
      <c r="J130" s="3">
        <f>E130-F130-G130-H130-I130</f>
      </c>
      <c r="K130" s="3">
        <f>IF(AND(A130-CEILING(Assumptions!$E$27/30,1)&gt;=1,A130-CEILING(Assumptions!$E$27/30,1)&lt;=156),INDEX($E$2:$E$157,A130-CEILING(Assumptions!$E$27/30,1))*Assumptions!$B$27/100,0)</f>
      </c>
      <c r="L130" s="3">
        <f>IF(AND(A130-CEILING(Assumptions!$E$28/30,1)&gt;=1,A130-CEILING(Assumptions!$E$28/30,1)&lt;=156),INDEX($E$2:$E$157,A130-CEILING(Assumptions!$E$28/30,1))*Assumptions!$B$28/100,0)</f>
      </c>
      <c r="M130" s="3">
        <f>IF(AND(A130-CEILING(Assumptions!$E$29/30,1)&gt;=1,A130-CEILING(Assumptions!$E$29/30,1)&lt;=156),INDEX($E$2:$E$157,A130-CEILING(Assumptions!$E$29/30,1))*Assumptions!$B$29/100,0)</f>
      </c>
      <c r="N130" s="3">
        <f>IF(AND(A130-CEILING(Assumptions!$E$30/30,1)&gt;=1,A130-CEILING(Assumptions!$E$30/30,1)&lt;=156),INDEX($E$2:$E$157,A130-CEILING(Assumptions!$E$30/30,1))*Assumptions!$B$30/100,0)</f>
      </c>
      <c r="O130" s="3">
        <f>IF(AND(A130-CEILING(Assumptions!$E$31/30,1)&gt;=1,A130-CEILING(Assumptions!$E$31/30,1)&lt;=156),INDEX($E$2:$E$157,A130-CEILING(Assumptions!$E$31/30,1))*Assumptions!$B$31/100,0)</f>
      </c>
      <c r="P130" s="3">
        <f>K130+L130+M130+N130+O130</f>
      </c>
      <c r="Q130" s="2"/>
      <c r="R130" s="2"/>
      <c r="S130" s="2"/>
    </row>
    <row r="131" ht="19" customHeight="1" spans="1:19" x14ac:dyDescent="0.25">
      <c r="A131" s="4">
        <v>130</v>
      </c>
      <c r="B131" s="4">
        <v>11</v>
      </c>
      <c r="C131" s="3">
        <f>Assumptions!$B$5*Assumptions!$B$32*Assumptions!$B$6*D131</f>
      </c>
      <c r="D131" s="5">
        <f>IF(A131&lt;=3,Assumptions!$B$21,IF(A131&lt;=6,Assumptions!$B$22,IF(A131&lt;=12,Assumptions!$B$23,Assumptions!$B$24)))/100</f>
      </c>
      <c r="E131" s="3">
        <f>Assumptions!$B$5*Assumptions!$B$33*Assumptions!$B$6*D131</f>
      </c>
      <c r="F131" s="3">
        <f>Assumptions!$B$5*Assumptions!$B$7*Assumptions!$B$6*D131</f>
      </c>
      <c r="G131" s="3">
        <f>Assumptions!$B$8</f>
      </c>
      <c r="H131" s="3">
        <f>IF(INDEX(Assumptions!$B$35:$B$47,B131)&lt;&gt;"",INDEX(Assumptions!$B$35:$B$47,B131)/100*Assumptions!$B$2,IF(B131&lt;=Assumptions!$B$17,0,IF(B131&lt;=Assumptions!$B$17+Assumptions!$B$18,Assumptions!$B$19,Assumptions!$B$20)))/12</f>
      </c>
      <c r="I131" s="3">
        <f>IF(Assumptions!$B$12="Cash",0,IF(A131&lt;=Assumptions!$B$15,Monthly!$S$1,0))</f>
      </c>
      <c r="J131" s="3">
        <f>E131-F131-G131-H131-I131</f>
      </c>
      <c r="K131" s="3">
        <f>IF(AND(A131-CEILING(Assumptions!$E$27/30,1)&gt;=1,A131-CEILING(Assumptions!$E$27/30,1)&lt;=156),INDEX($E$2:$E$157,A131-CEILING(Assumptions!$E$27/30,1))*Assumptions!$B$27/100,0)</f>
      </c>
      <c r="L131" s="3">
        <f>IF(AND(A131-CEILING(Assumptions!$E$28/30,1)&gt;=1,A131-CEILING(Assumptions!$E$28/30,1)&lt;=156),INDEX($E$2:$E$157,A131-CEILING(Assumptions!$E$28/30,1))*Assumptions!$B$28/100,0)</f>
      </c>
      <c r="M131" s="3">
        <f>IF(AND(A131-CEILING(Assumptions!$E$29/30,1)&gt;=1,A131-CEILING(Assumptions!$E$29/30,1)&lt;=156),INDEX($E$2:$E$157,A131-CEILING(Assumptions!$E$29/30,1))*Assumptions!$B$29/100,0)</f>
      </c>
      <c r="N131" s="3">
        <f>IF(AND(A131-CEILING(Assumptions!$E$30/30,1)&gt;=1,A131-CEILING(Assumptions!$E$30/30,1)&lt;=156),INDEX($E$2:$E$157,A131-CEILING(Assumptions!$E$30/30,1))*Assumptions!$B$30/100,0)</f>
      </c>
      <c r="O131" s="3">
        <f>IF(AND(A131-CEILING(Assumptions!$E$31/30,1)&gt;=1,A131-CEILING(Assumptions!$E$31/30,1)&lt;=156),INDEX($E$2:$E$157,A131-CEILING(Assumptions!$E$31/30,1))*Assumptions!$B$31/100,0)</f>
      </c>
      <c r="P131" s="3">
        <f>K131+L131+M131+N131+O131</f>
      </c>
      <c r="Q131" s="2"/>
      <c r="R131" s="2"/>
      <c r="S131" s="2"/>
    </row>
    <row r="132" ht="19" customHeight="1" spans="1:19" x14ac:dyDescent="0.25">
      <c r="A132" s="4">
        <v>131</v>
      </c>
      <c r="B132" s="4">
        <v>11</v>
      </c>
      <c r="C132" s="3">
        <f>Assumptions!$B$5*Assumptions!$B$32*Assumptions!$B$6*D132</f>
      </c>
      <c r="D132" s="5">
        <f>IF(A132&lt;=3,Assumptions!$B$21,IF(A132&lt;=6,Assumptions!$B$22,IF(A132&lt;=12,Assumptions!$B$23,Assumptions!$B$24)))/100</f>
      </c>
      <c r="E132" s="3">
        <f>Assumptions!$B$5*Assumptions!$B$33*Assumptions!$B$6*D132</f>
      </c>
      <c r="F132" s="3">
        <f>Assumptions!$B$5*Assumptions!$B$7*Assumptions!$B$6*D132</f>
      </c>
      <c r="G132" s="3">
        <f>Assumptions!$B$8</f>
      </c>
      <c r="H132" s="3">
        <f>IF(INDEX(Assumptions!$B$35:$B$47,B132)&lt;&gt;"",INDEX(Assumptions!$B$35:$B$47,B132)/100*Assumptions!$B$2,IF(B132&lt;=Assumptions!$B$17,0,IF(B132&lt;=Assumptions!$B$17+Assumptions!$B$18,Assumptions!$B$19,Assumptions!$B$20)))/12</f>
      </c>
      <c r="I132" s="3">
        <f>IF(Assumptions!$B$12="Cash",0,IF(A132&lt;=Assumptions!$B$15,Monthly!$S$1,0))</f>
      </c>
      <c r="J132" s="3">
        <f>E132-F132-G132-H132-I132</f>
      </c>
      <c r="K132" s="3">
        <f>IF(AND(A132-CEILING(Assumptions!$E$27/30,1)&gt;=1,A132-CEILING(Assumptions!$E$27/30,1)&lt;=156),INDEX($E$2:$E$157,A132-CEILING(Assumptions!$E$27/30,1))*Assumptions!$B$27/100,0)</f>
      </c>
      <c r="L132" s="3">
        <f>IF(AND(A132-CEILING(Assumptions!$E$28/30,1)&gt;=1,A132-CEILING(Assumptions!$E$28/30,1)&lt;=156),INDEX($E$2:$E$157,A132-CEILING(Assumptions!$E$28/30,1))*Assumptions!$B$28/100,0)</f>
      </c>
      <c r="M132" s="3">
        <f>IF(AND(A132-CEILING(Assumptions!$E$29/30,1)&gt;=1,A132-CEILING(Assumptions!$E$29/30,1)&lt;=156),INDEX($E$2:$E$157,A132-CEILING(Assumptions!$E$29/30,1))*Assumptions!$B$29/100,0)</f>
      </c>
      <c r="N132" s="3">
        <f>IF(AND(A132-CEILING(Assumptions!$E$30/30,1)&gt;=1,A132-CEILING(Assumptions!$E$30/30,1)&lt;=156),INDEX($E$2:$E$157,A132-CEILING(Assumptions!$E$30/30,1))*Assumptions!$B$30/100,0)</f>
      </c>
      <c r="O132" s="3">
        <f>IF(AND(A132-CEILING(Assumptions!$E$31/30,1)&gt;=1,A132-CEILING(Assumptions!$E$31/30,1)&lt;=156),INDEX($E$2:$E$157,A132-CEILING(Assumptions!$E$31/30,1))*Assumptions!$B$31/100,0)</f>
      </c>
      <c r="P132" s="3">
        <f>K132+L132+M132+N132+O132</f>
      </c>
      <c r="Q132" s="2"/>
      <c r="R132" s="2"/>
      <c r="S132" s="2"/>
    </row>
    <row r="133" ht="19" customHeight="1" spans="1:19" x14ac:dyDescent="0.25">
      <c r="A133" s="4">
        <v>132</v>
      </c>
      <c r="B133" s="4">
        <v>11</v>
      </c>
      <c r="C133" s="3">
        <f>Assumptions!$B$5*Assumptions!$B$32*Assumptions!$B$6*D133</f>
      </c>
      <c r="D133" s="5">
        <f>IF(A133&lt;=3,Assumptions!$B$21,IF(A133&lt;=6,Assumptions!$B$22,IF(A133&lt;=12,Assumptions!$B$23,Assumptions!$B$24)))/100</f>
      </c>
      <c r="E133" s="3">
        <f>Assumptions!$B$5*Assumptions!$B$33*Assumptions!$B$6*D133</f>
      </c>
      <c r="F133" s="3">
        <f>Assumptions!$B$5*Assumptions!$B$7*Assumptions!$B$6*D133</f>
      </c>
      <c r="G133" s="3">
        <f>Assumptions!$B$8</f>
      </c>
      <c r="H133" s="3">
        <f>IF(INDEX(Assumptions!$B$35:$B$47,B133)&lt;&gt;"",INDEX(Assumptions!$B$35:$B$47,B133)/100*Assumptions!$B$2,IF(B133&lt;=Assumptions!$B$17,0,IF(B133&lt;=Assumptions!$B$17+Assumptions!$B$18,Assumptions!$B$19,Assumptions!$B$20)))/12</f>
      </c>
      <c r="I133" s="3">
        <f>IF(Assumptions!$B$12="Cash",0,IF(A133&lt;=Assumptions!$B$15,Monthly!$S$1,0))</f>
      </c>
      <c r="J133" s="3">
        <f>E133-F133-G133-H133-I133</f>
      </c>
      <c r="K133" s="3">
        <f>IF(AND(A133-CEILING(Assumptions!$E$27/30,1)&gt;=1,A133-CEILING(Assumptions!$E$27/30,1)&lt;=156),INDEX($E$2:$E$157,A133-CEILING(Assumptions!$E$27/30,1))*Assumptions!$B$27/100,0)</f>
      </c>
      <c r="L133" s="3">
        <f>IF(AND(A133-CEILING(Assumptions!$E$28/30,1)&gt;=1,A133-CEILING(Assumptions!$E$28/30,1)&lt;=156),INDEX($E$2:$E$157,A133-CEILING(Assumptions!$E$28/30,1))*Assumptions!$B$28/100,0)</f>
      </c>
      <c r="M133" s="3">
        <f>IF(AND(A133-CEILING(Assumptions!$E$29/30,1)&gt;=1,A133-CEILING(Assumptions!$E$29/30,1)&lt;=156),INDEX($E$2:$E$157,A133-CEILING(Assumptions!$E$29/30,1))*Assumptions!$B$29/100,0)</f>
      </c>
      <c r="N133" s="3">
        <f>IF(AND(A133-CEILING(Assumptions!$E$30/30,1)&gt;=1,A133-CEILING(Assumptions!$E$30/30,1)&lt;=156),INDEX($E$2:$E$157,A133-CEILING(Assumptions!$E$30/30,1))*Assumptions!$B$30/100,0)</f>
      </c>
      <c r="O133" s="3">
        <f>IF(AND(A133-CEILING(Assumptions!$E$31/30,1)&gt;=1,A133-CEILING(Assumptions!$E$31/30,1)&lt;=156),INDEX($E$2:$E$157,A133-CEILING(Assumptions!$E$31/30,1))*Assumptions!$B$31/100,0)</f>
      </c>
      <c r="P133" s="3">
        <f>K133+L133+M133+N133+O133</f>
      </c>
      <c r="Q133" s="2"/>
      <c r="R133" s="2"/>
      <c r="S133" s="2"/>
    </row>
    <row r="134" ht="19" customHeight="1" spans="1:19" x14ac:dyDescent="0.25">
      <c r="A134" s="4">
        <v>133</v>
      </c>
      <c r="B134" s="4">
        <v>12</v>
      </c>
      <c r="C134" s="3">
        <f>Assumptions!$B$5*Assumptions!$B$32*Assumptions!$B$6*D134</f>
      </c>
      <c r="D134" s="5">
        <f>IF(A134&lt;=3,Assumptions!$B$21,IF(A134&lt;=6,Assumptions!$B$22,IF(A134&lt;=12,Assumptions!$B$23,Assumptions!$B$24)))/100</f>
      </c>
      <c r="E134" s="3">
        <f>Assumptions!$B$5*Assumptions!$B$33*Assumptions!$B$6*D134</f>
      </c>
      <c r="F134" s="3">
        <f>Assumptions!$B$5*Assumptions!$B$7*Assumptions!$B$6*D134</f>
      </c>
      <c r="G134" s="3">
        <f>Assumptions!$B$8</f>
      </c>
      <c r="H134" s="3">
        <f>IF(INDEX(Assumptions!$B$35:$B$47,B134)&lt;&gt;"",INDEX(Assumptions!$B$35:$B$47,B134)/100*Assumptions!$B$2,IF(B134&lt;=Assumptions!$B$17,0,IF(B134&lt;=Assumptions!$B$17+Assumptions!$B$18,Assumptions!$B$19,Assumptions!$B$20)))/12</f>
      </c>
      <c r="I134" s="3">
        <f>IF(Assumptions!$B$12="Cash",0,IF(A134&lt;=Assumptions!$B$15,Monthly!$S$1,0))</f>
      </c>
      <c r="J134" s="3">
        <f>E134-F134-G134-H134-I134</f>
      </c>
      <c r="K134" s="3">
        <f>IF(AND(A134-CEILING(Assumptions!$E$27/30,1)&gt;=1,A134-CEILING(Assumptions!$E$27/30,1)&lt;=156),INDEX($E$2:$E$157,A134-CEILING(Assumptions!$E$27/30,1))*Assumptions!$B$27/100,0)</f>
      </c>
      <c r="L134" s="3">
        <f>IF(AND(A134-CEILING(Assumptions!$E$28/30,1)&gt;=1,A134-CEILING(Assumptions!$E$28/30,1)&lt;=156),INDEX($E$2:$E$157,A134-CEILING(Assumptions!$E$28/30,1))*Assumptions!$B$28/100,0)</f>
      </c>
      <c r="M134" s="3">
        <f>IF(AND(A134-CEILING(Assumptions!$E$29/30,1)&gt;=1,A134-CEILING(Assumptions!$E$29/30,1)&lt;=156),INDEX($E$2:$E$157,A134-CEILING(Assumptions!$E$29/30,1))*Assumptions!$B$29/100,0)</f>
      </c>
      <c r="N134" s="3">
        <f>IF(AND(A134-CEILING(Assumptions!$E$30/30,1)&gt;=1,A134-CEILING(Assumptions!$E$30/30,1)&lt;=156),INDEX($E$2:$E$157,A134-CEILING(Assumptions!$E$30/30,1))*Assumptions!$B$30/100,0)</f>
      </c>
      <c r="O134" s="3">
        <f>IF(AND(A134-CEILING(Assumptions!$E$31/30,1)&gt;=1,A134-CEILING(Assumptions!$E$31/30,1)&lt;=156),INDEX($E$2:$E$157,A134-CEILING(Assumptions!$E$31/30,1))*Assumptions!$B$31/100,0)</f>
      </c>
      <c r="P134" s="3">
        <f>K134+L134+M134+N134+O134</f>
      </c>
      <c r="Q134" s="2"/>
      <c r="R134" s="2"/>
      <c r="S134" s="2"/>
    </row>
    <row r="135" ht="19" customHeight="1" spans="1:19" x14ac:dyDescent="0.25">
      <c r="A135" s="4">
        <v>134</v>
      </c>
      <c r="B135" s="4">
        <v>12</v>
      </c>
      <c r="C135" s="3">
        <f>Assumptions!$B$5*Assumptions!$B$32*Assumptions!$B$6*D135</f>
      </c>
      <c r="D135" s="5">
        <f>IF(A135&lt;=3,Assumptions!$B$21,IF(A135&lt;=6,Assumptions!$B$22,IF(A135&lt;=12,Assumptions!$B$23,Assumptions!$B$24)))/100</f>
      </c>
      <c r="E135" s="3">
        <f>Assumptions!$B$5*Assumptions!$B$33*Assumptions!$B$6*D135</f>
      </c>
      <c r="F135" s="3">
        <f>Assumptions!$B$5*Assumptions!$B$7*Assumptions!$B$6*D135</f>
      </c>
      <c r="G135" s="3">
        <f>Assumptions!$B$8</f>
      </c>
      <c r="H135" s="3">
        <f>IF(INDEX(Assumptions!$B$35:$B$47,B135)&lt;&gt;"",INDEX(Assumptions!$B$35:$B$47,B135)/100*Assumptions!$B$2,IF(B135&lt;=Assumptions!$B$17,0,IF(B135&lt;=Assumptions!$B$17+Assumptions!$B$18,Assumptions!$B$19,Assumptions!$B$20)))/12</f>
      </c>
      <c r="I135" s="3">
        <f>IF(Assumptions!$B$12="Cash",0,IF(A135&lt;=Assumptions!$B$15,Monthly!$S$1,0))</f>
      </c>
      <c r="J135" s="3">
        <f>E135-F135-G135-H135-I135</f>
      </c>
      <c r="K135" s="3">
        <f>IF(AND(A135-CEILING(Assumptions!$E$27/30,1)&gt;=1,A135-CEILING(Assumptions!$E$27/30,1)&lt;=156),INDEX($E$2:$E$157,A135-CEILING(Assumptions!$E$27/30,1))*Assumptions!$B$27/100,0)</f>
      </c>
      <c r="L135" s="3">
        <f>IF(AND(A135-CEILING(Assumptions!$E$28/30,1)&gt;=1,A135-CEILING(Assumptions!$E$28/30,1)&lt;=156),INDEX($E$2:$E$157,A135-CEILING(Assumptions!$E$28/30,1))*Assumptions!$B$28/100,0)</f>
      </c>
      <c r="M135" s="3">
        <f>IF(AND(A135-CEILING(Assumptions!$E$29/30,1)&gt;=1,A135-CEILING(Assumptions!$E$29/30,1)&lt;=156),INDEX($E$2:$E$157,A135-CEILING(Assumptions!$E$29/30,1))*Assumptions!$B$29/100,0)</f>
      </c>
      <c r="N135" s="3">
        <f>IF(AND(A135-CEILING(Assumptions!$E$30/30,1)&gt;=1,A135-CEILING(Assumptions!$E$30/30,1)&lt;=156),INDEX($E$2:$E$157,A135-CEILING(Assumptions!$E$30/30,1))*Assumptions!$B$30/100,0)</f>
      </c>
      <c r="O135" s="3">
        <f>IF(AND(A135-CEILING(Assumptions!$E$31/30,1)&gt;=1,A135-CEILING(Assumptions!$E$31/30,1)&lt;=156),INDEX($E$2:$E$157,A135-CEILING(Assumptions!$E$31/30,1))*Assumptions!$B$31/100,0)</f>
      </c>
      <c r="P135" s="3">
        <f>K135+L135+M135+N135+O135</f>
      </c>
      <c r="Q135" s="2"/>
      <c r="R135" s="2"/>
      <c r="S135" s="2"/>
    </row>
    <row r="136" ht="19" customHeight="1" spans="1:19" x14ac:dyDescent="0.25">
      <c r="A136" s="4">
        <v>135</v>
      </c>
      <c r="B136" s="4">
        <v>12</v>
      </c>
      <c r="C136" s="3">
        <f>Assumptions!$B$5*Assumptions!$B$32*Assumptions!$B$6*D136</f>
      </c>
      <c r="D136" s="5">
        <f>IF(A136&lt;=3,Assumptions!$B$21,IF(A136&lt;=6,Assumptions!$B$22,IF(A136&lt;=12,Assumptions!$B$23,Assumptions!$B$24)))/100</f>
      </c>
      <c r="E136" s="3">
        <f>Assumptions!$B$5*Assumptions!$B$33*Assumptions!$B$6*D136</f>
      </c>
      <c r="F136" s="3">
        <f>Assumptions!$B$5*Assumptions!$B$7*Assumptions!$B$6*D136</f>
      </c>
      <c r="G136" s="3">
        <f>Assumptions!$B$8</f>
      </c>
      <c r="H136" s="3">
        <f>IF(INDEX(Assumptions!$B$35:$B$47,B136)&lt;&gt;"",INDEX(Assumptions!$B$35:$B$47,B136)/100*Assumptions!$B$2,IF(B136&lt;=Assumptions!$B$17,0,IF(B136&lt;=Assumptions!$B$17+Assumptions!$B$18,Assumptions!$B$19,Assumptions!$B$20)))/12</f>
      </c>
      <c r="I136" s="3">
        <f>IF(Assumptions!$B$12="Cash",0,IF(A136&lt;=Assumptions!$B$15,Monthly!$S$1,0))</f>
      </c>
      <c r="J136" s="3">
        <f>E136-F136-G136-H136-I136</f>
      </c>
      <c r="K136" s="3">
        <f>IF(AND(A136-CEILING(Assumptions!$E$27/30,1)&gt;=1,A136-CEILING(Assumptions!$E$27/30,1)&lt;=156),INDEX($E$2:$E$157,A136-CEILING(Assumptions!$E$27/30,1))*Assumptions!$B$27/100,0)</f>
      </c>
      <c r="L136" s="3">
        <f>IF(AND(A136-CEILING(Assumptions!$E$28/30,1)&gt;=1,A136-CEILING(Assumptions!$E$28/30,1)&lt;=156),INDEX($E$2:$E$157,A136-CEILING(Assumptions!$E$28/30,1))*Assumptions!$B$28/100,0)</f>
      </c>
      <c r="M136" s="3">
        <f>IF(AND(A136-CEILING(Assumptions!$E$29/30,1)&gt;=1,A136-CEILING(Assumptions!$E$29/30,1)&lt;=156),INDEX($E$2:$E$157,A136-CEILING(Assumptions!$E$29/30,1))*Assumptions!$B$29/100,0)</f>
      </c>
      <c r="N136" s="3">
        <f>IF(AND(A136-CEILING(Assumptions!$E$30/30,1)&gt;=1,A136-CEILING(Assumptions!$E$30/30,1)&lt;=156),INDEX($E$2:$E$157,A136-CEILING(Assumptions!$E$30/30,1))*Assumptions!$B$30/100,0)</f>
      </c>
      <c r="O136" s="3">
        <f>IF(AND(A136-CEILING(Assumptions!$E$31/30,1)&gt;=1,A136-CEILING(Assumptions!$E$31/30,1)&lt;=156),INDEX($E$2:$E$157,A136-CEILING(Assumptions!$E$31/30,1))*Assumptions!$B$31/100,0)</f>
      </c>
      <c r="P136" s="3">
        <f>K136+L136+M136+N136+O136</f>
      </c>
      <c r="Q136" s="2"/>
      <c r="R136" s="2"/>
      <c r="S136" s="2"/>
    </row>
    <row r="137" ht="19" customHeight="1" spans="1:19" x14ac:dyDescent="0.25">
      <c r="A137" s="4">
        <v>136</v>
      </c>
      <c r="B137" s="4">
        <v>12</v>
      </c>
      <c r="C137" s="3">
        <f>Assumptions!$B$5*Assumptions!$B$32*Assumptions!$B$6*D137</f>
      </c>
      <c r="D137" s="5">
        <f>IF(A137&lt;=3,Assumptions!$B$21,IF(A137&lt;=6,Assumptions!$B$22,IF(A137&lt;=12,Assumptions!$B$23,Assumptions!$B$24)))/100</f>
      </c>
      <c r="E137" s="3">
        <f>Assumptions!$B$5*Assumptions!$B$33*Assumptions!$B$6*D137</f>
      </c>
      <c r="F137" s="3">
        <f>Assumptions!$B$5*Assumptions!$B$7*Assumptions!$B$6*D137</f>
      </c>
      <c r="G137" s="3">
        <f>Assumptions!$B$8</f>
      </c>
      <c r="H137" s="3">
        <f>IF(INDEX(Assumptions!$B$35:$B$47,B137)&lt;&gt;"",INDEX(Assumptions!$B$35:$B$47,B137)/100*Assumptions!$B$2,IF(B137&lt;=Assumptions!$B$17,0,IF(B137&lt;=Assumptions!$B$17+Assumptions!$B$18,Assumptions!$B$19,Assumptions!$B$20)))/12</f>
      </c>
      <c r="I137" s="3">
        <f>IF(Assumptions!$B$12="Cash",0,IF(A137&lt;=Assumptions!$B$15,Monthly!$S$1,0))</f>
      </c>
      <c r="J137" s="3">
        <f>E137-F137-G137-H137-I137</f>
      </c>
      <c r="K137" s="3">
        <f>IF(AND(A137-CEILING(Assumptions!$E$27/30,1)&gt;=1,A137-CEILING(Assumptions!$E$27/30,1)&lt;=156),INDEX($E$2:$E$157,A137-CEILING(Assumptions!$E$27/30,1))*Assumptions!$B$27/100,0)</f>
      </c>
      <c r="L137" s="3">
        <f>IF(AND(A137-CEILING(Assumptions!$E$28/30,1)&gt;=1,A137-CEILING(Assumptions!$E$28/30,1)&lt;=156),INDEX($E$2:$E$157,A137-CEILING(Assumptions!$E$28/30,1))*Assumptions!$B$28/100,0)</f>
      </c>
      <c r="M137" s="3">
        <f>IF(AND(A137-CEILING(Assumptions!$E$29/30,1)&gt;=1,A137-CEILING(Assumptions!$E$29/30,1)&lt;=156),INDEX($E$2:$E$157,A137-CEILING(Assumptions!$E$29/30,1))*Assumptions!$B$29/100,0)</f>
      </c>
      <c r="N137" s="3">
        <f>IF(AND(A137-CEILING(Assumptions!$E$30/30,1)&gt;=1,A137-CEILING(Assumptions!$E$30/30,1)&lt;=156),INDEX($E$2:$E$157,A137-CEILING(Assumptions!$E$30/30,1))*Assumptions!$B$30/100,0)</f>
      </c>
      <c r="O137" s="3">
        <f>IF(AND(A137-CEILING(Assumptions!$E$31/30,1)&gt;=1,A137-CEILING(Assumptions!$E$31/30,1)&lt;=156),INDEX($E$2:$E$157,A137-CEILING(Assumptions!$E$31/30,1))*Assumptions!$B$31/100,0)</f>
      </c>
      <c r="P137" s="3">
        <f>K137+L137+M137+N137+O137</f>
      </c>
      <c r="Q137" s="2"/>
      <c r="R137" s="2"/>
      <c r="S137" s="2"/>
    </row>
    <row r="138" ht="19" customHeight="1" spans="1:19" x14ac:dyDescent="0.25">
      <c r="A138" s="4">
        <v>137</v>
      </c>
      <c r="B138" s="4">
        <v>12</v>
      </c>
      <c r="C138" s="3">
        <f>Assumptions!$B$5*Assumptions!$B$32*Assumptions!$B$6*D138</f>
      </c>
      <c r="D138" s="5">
        <f>IF(A138&lt;=3,Assumptions!$B$21,IF(A138&lt;=6,Assumptions!$B$22,IF(A138&lt;=12,Assumptions!$B$23,Assumptions!$B$24)))/100</f>
      </c>
      <c r="E138" s="3">
        <f>Assumptions!$B$5*Assumptions!$B$33*Assumptions!$B$6*D138</f>
      </c>
      <c r="F138" s="3">
        <f>Assumptions!$B$5*Assumptions!$B$7*Assumptions!$B$6*D138</f>
      </c>
      <c r="G138" s="3">
        <f>Assumptions!$B$8</f>
      </c>
      <c r="H138" s="3">
        <f>IF(INDEX(Assumptions!$B$35:$B$47,B138)&lt;&gt;"",INDEX(Assumptions!$B$35:$B$47,B138)/100*Assumptions!$B$2,IF(B138&lt;=Assumptions!$B$17,0,IF(B138&lt;=Assumptions!$B$17+Assumptions!$B$18,Assumptions!$B$19,Assumptions!$B$20)))/12</f>
      </c>
      <c r="I138" s="3">
        <f>IF(Assumptions!$B$12="Cash",0,IF(A138&lt;=Assumptions!$B$15,Monthly!$S$1,0))</f>
      </c>
      <c r="J138" s="3">
        <f>E138-F138-G138-H138-I138</f>
      </c>
      <c r="K138" s="3">
        <f>IF(AND(A138-CEILING(Assumptions!$E$27/30,1)&gt;=1,A138-CEILING(Assumptions!$E$27/30,1)&lt;=156),INDEX($E$2:$E$157,A138-CEILING(Assumptions!$E$27/30,1))*Assumptions!$B$27/100,0)</f>
      </c>
      <c r="L138" s="3">
        <f>IF(AND(A138-CEILING(Assumptions!$E$28/30,1)&gt;=1,A138-CEILING(Assumptions!$E$28/30,1)&lt;=156),INDEX($E$2:$E$157,A138-CEILING(Assumptions!$E$28/30,1))*Assumptions!$B$28/100,0)</f>
      </c>
      <c r="M138" s="3">
        <f>IF(AND(A138-CEILING(Assumptions!$E$29/30,1)&gt;=1,A138-CEILING(Assumptions!$E$29/30,1)&lt;=156),INDEX($E$2:$E$157,A138-CEILING(Assumptions!$E$29/30,1))*Assumptions!$B$29/100,0)</f>
      </c>
      <c r="N138" s="3">
        <f>IF(AND(A138-CEILING(Assumptions!$E$30/30,1)&gt;=1,A138-CEILING(Assumptions!$E$30/30,1)&lt;=156),INDEX($E$2:$E$157,A138-CEILING(Assumptions!$E$30/30,1))*Assumptions!$B$30/100,0)</f>
      </c>
      <c r="O138" s="3">
        <f>IF(AND(A138-CEILING(Assumptions!$E$31/30,1)&gt;=1,A138-CEILING(Assumptions!$E$31/30,1)&lt;=156),INDEX($E$2:$E$157,A138-CEILING(Assumptions!$E$31/30,1))*Assumptions!$B$31/100,0)</f>
      </c>
      <c r="P138" s="3">
        <f>K138+L138+M138+N138+O138</f>
      </c>
      <c r="Q138" s="2"/>
      <c r="R138" s="2"/>
      <c r="S138" s="2"/>
    </row>
    <row r="139" ht="19" customHeight="1" spans="1:19" x14ac:dyDescent="0.25">
      <c r="A139" s="4">
        <v>138</v>
      </c>
      <c r="B139" s="4">
        <v>12</v>
      </c>
      <c r="C139" s="3">
        <f>Assumptions!$B$5*Assumptions!$B$32*Assumptions!$B$6*D139</f>
      </c>
      <c r="D139" s="5">
        <f>IF(A139&lt;=3,Assumptions!$B$21,IF(A139&lt;=6,Assumptions!$B$22,IF(A139&lt;=12,Assumptions!$B$23,Assumptions!$B$24)))/100</f>
      </c>
      <c r="E139" s="3">
        <f>Assumptions!$B$5*Assumptions!$B$33*Assumptions!$B$6*D139</f>
      </c>
      <c r="F139" s="3">
        <f>Assumptions!$B$5*Assumptions!$B$7*Assumptions!$B$6*D139</f>
      </c>
      <c r="G139" s="3">
        <f>Assumptions!$B$8</f>
      </c>
      <c r="H139" s="3">
        <f>IF(INDEX(Assumptions!$B$35:$B$47,B139)&lt;&gt;"",INDEX(Assumptions!$B$35:$B$47,B139)/100*Assumptions!$B$2,IF(B139&lt;=Assumptions!$B$17,0,IF(B139&lt;=Assumptions!$B$17+Assumptions!$B$18,Assumptions!$B$19,Assumptions!$B$20)))/12</f>
      </c>
      <c r="I139" s="3">
        <f>IF(Assumptions!$B$12="Cash",0,IF(A139&lt;=Assumptions!$B$15,Monthly!$S$1,0))</f>
      </c>
      <c r="J139" s="3">
        <f>E139-F139-G139-H139-I139</f>
      </c>
      <c r="K139" s="3">
        <f>IF(AND(A139-CEILING(Assumptions!$E$27/30,1)&gt;=1,A139-CEILING(Assumptions!$E$27/30,1)&lt;=156),INDEX($E$2:$E$157,A139-CEILING(Assumptions!$E$27/30,1))*Assumptions!$B$27/100,0)</f>
      </c>
      <c r="L139" s="3">
        <f>IF(AND(A139-CEILING(Assumptions!$E$28/30,1)&gt;=1,A139-CEILING(Assumptions!$E$28/30,1)&lt;=156),INDEX($E$2:$E$157,A139-CEILING(Assumptions!$E$28/30,1))*Assumptions!$B$28/100,0)</f>
      </c>
      <c r="M139" s="3">
        <f>IF(AND(A139-CEILING(Assumptions!$E$29/30,1)&gt;=1,A139-CEILING(Assumptions!$E$29/30,1)&lt;=156),INDEX($E$2:$E$157,A139-CEILING(Assumptions!$E$29/30,1))*Assumptions!$B$29/100,0)</f>
      </c>
      <c r="N139" s="3">
        <f>IF(AND(A139-CEILING(Assumptions!$E$30/30,1)&gt;=1,A139-CEILING(Assumptions!$E$30/30,1)&lt;=156),INDEX($E$2:$E$157,A139-CEILING(Assumptions!$E$30/30,1))*Assumptions!$B$30/100,0)</f>
      </c>
      <c r="O139" s="3">
        <f>IF(AND(A139-CEILING(Assumptions!$E$31/30,1)&gt;=1,A139-CEILING(Assumptions!$E$31/30,1)&lt;=156),INDEX($E$2:$E$157,A139-CEILING(Assumptions!$E$31/30,1))*Assumptions!$B$31/100,0)</f>
      </c>
      <c r="P139" s="3">
        <f>K139+L139+M139+N139+O139</f>
      </c>
      <c r="Q139" s="2"/>
      <c r="R139" s="2"/>
      <c r="S139" s="2"/>
    </row>
    <row r="140" ht="19" customHeight="1" spans="1:19" x14ac:dyDescent="0.25">
      <c r="A140" s="4">
        <v>139</v>
      </c>
      <c r="B140" s="4">
        <v>12</v>
      </c>
      <c r="C140" s="3">
        <f>Assumptions!$B$5*Assumptions!$B$32*Assumptions!$B$6*D140</f>
      </c>
      <c r="D140" s="5">
        <f>IF(A140&lt;=3,Assumptions!$B$21,IF(A140&lt;=6,Assumptions!$B$22,IF(A140&lt;=12,Assumptions!$B$23,Assumptions!$B$24)))/100</f>
      </c>
      <c r="E140" s="3">
        <f>Assumptions!$B$5*Assumptions!$B$33*Assumptions!$B$6*D140</f>
      </c>
      <c r="F140" s="3">
        <f>Assumptions!$B$5*Assumptions!$B$7*Assumptions!$B$6*D140</f>
      </c>
      <c r="G140" s="3">
        <f>Assumptions!$B$8</f>
      </c>
      <c r="H140" s="3">
        <f>IF(INDEX(Assumptions!$B$35:$B$47,B140)&lt;&gt;"",INDEX(Assumptions!$B$35:$B$47,B140)/100*Assumptions!$B$2,IF(B140&lt;=Assumptions!$B$17,0,IF(B140&lt;=Assumptions!$B$17+Assumptions!$B$18,Assumptions!$B$19,Assumptions!$B$20)))/12</f>
      </c>
      <c r="I140" s="3">
        <f>IF(Assumptions!$B$12="Cash",0,IF(A140&lt;=Assumptions!$B$15,Monthly!$S$1,0))</f>
      </c>
      <c r="J140" s="3">
        <f>E140-F140-G140-H140-I140</f>
      </c>
      <c r="K140" s="3">
        <f>IF(AND(A140-CEILING(Assumptions!$E$27/30,1)&gt;=1,A140-CEILING(Assumptions!$E$27/30,1)&lt;=156),INDEX($E$2:$E$157,A140-CEILING(Assumptions!$E$27/30,1))*Assumptions!$B$27/100,0)</f>
      </c>
      <c r="L140" s="3">
        <f>IF(AND(A140-CEILING(Assumptions!$E$28/30,1)&gt;=1,A140-CEILING(Assumptions!$E$28/30,1)&lt;=156),INDEX($E$2:$E$157,A140-CEILING(Assumptions!$E$28/30,1))*Assumptions!$B$28/100,0)</f>
      </c>
      <c r="M140" s="3">
        <f>IF(AND(A140-CEILING(Assumptions!$E$29/30,1)&gt;=1,A140-CEILING(Assumptions!$E$29/30,1)&lt;=156),INDEX($E$2:$E$157,A140-CEILING(Assumptions!$E$29/30,1))*Assumptions!$B$29/100,0)</f>
      </c>
      <c r="N140" s="3">
        <f>IF(AND(A140-CEILING(Assumptions!$E$30/30,1)&gt;=1,A140-CEILING(Assumptions!$E$30/30,1)&lt;=156),INDEX($E$2:$E$157,A140-CEILING(Assumptions!$E$30/30,1))*Assumptions!$B$30/100,0)</f>
      </c>
      <c r="O140" s="3">
        <f>IF(AND(A140-CEILING(Assumptions!$E$31/30,1)&gt;=1,A140-CEILING(Assumptions!$E$31/30,1)&lt;=156),INDEX($E$2:$E$157,A140-CEILING(Assumptions!$E$31/30,1))*Assumptions!$B$31/100,0)</f>
      </c>
      <c r="P140" s="3">
        <f>K140+L140+M140+N140+O140</f>
      </c>
      <c r="Q140" s="2"/>
      <c r="R140" s="2"/>
      <c r="S140" s="2"/>
    </row>
    <row r="141" ht="19" customHeight="1" spans="1:19" x14ac:dyDescent="0.25">
      <c r="A141" s="4">
        <v>140</v>
      </c>
      <c r="B141" s="4">
        <v>12</v>
      </c>
      <c r="C141" s="3">
        <f>Assumptions!$B$5*Assumptions!$B$32*Assumptions!$B$6*D141</f>
      </c>
      <c r="D141" s="5">
        <f>IF(A141&lt;=3,Assumptions!$B$21,IF(A141&lt;=6,Assumptions!$B$22,IF(A141&lt;=12,Assumptions!$B$23,Assumptions!$B$24)))/100</f>
      </c>
      <c r="E141" s="3">
        <f>Assumptions!$B$5*Assumptions!$B$33*Assumptions!$B$6*D141</f>
      </c>
      <c r="F141" s="3">
        <f>Assumptions!$B$5*Assumptions!$B$7*Assumptions!$B$6*D141</f>
      </c>
      <c r="G141" s="3">
        <f>Assumptions!$B$8</f>
      </c>
      <c r="H141" s="3">
        <f>IF(INDEX(Assumptions!$B$35:$B$47,B141)&lt;&gt;"",INDEX(Assumptions!$B$35:$B$47,B141)/100*Assumptions!$B$2,IF(B141&lt;=Assumptions!$B$17,0,IF(B141&lt;=Assumptions!$B$17+Assumptions!$B$18,Assumptions!$B$19,Assumptions!$B$20)))/12</f>
      </c>
      <c r="I141" s="3">
        <f>IF(Assumptions!$B$12="Cash",0,IF(A141&lt;=Assumptions!$B$15,Monthly!$S$1,0))</f>
      </c>
      <c r="J141" s="3">
        <f>E141-F141-G141-H141-I141</f>
      </c>
      <c r="K141" s="3">
        <f>IF(AND(A141-CEILING(Assumptions!$E$27/30,1)&gt;=1,A141-CEILING(Assumptions!$E$27/30,1)&lt;=156),INDEX($E$2:$E$157,A141-CEILING(Assumptions!$E$27/30,1))*Assumptions!$B$27/100,0)</f>
      </c>
      <c r="L141" s="3">
        <f>IF(AND(A141-CEILING(Assumptions!$E$28/30,1)&gt;=1,A141-CEILING(Assumptions!$E$28/30,1)&lt;=156),INDEX($E$2:$E$157,A141-CEILING(Assumptions!$E$28/30,1))*Assumptions!$B$28/100,0)</f>
      </c>
      <c r="M141" s="3">
        <f>IF(AND(A141-CEILING(Assumptions!$E$29/30,1)&gt;=1,A141-CEILING(Assumptions!$E$29/30,1)&lt;=156),INDEX($E$2:$E$157,A141-CEILING(Assumptions!$E$29/30,1))*Assumptions!$B$29/100,0)</f>
      </c>
      <c r="N141" s="3">
        <f>IF(AND(A141-CEILING(Assumptions!$E$30/30,1)&gt;=1,A141-CEILING(Assumptions!$E$30/30,1)&lt;=156),INDEX($E$2:$E$157,A141-CEILING(Assumptions!$E$30/30,1))*Assumptions!$B$30/100,0)</f>
      </c>
      <c r="O141" s="3">
        <f>IF(AND(A141-CEILING(Assumptions!$E$31/30,1)&gt;=1,A141-CEILING(Assumptions!$E$31/30,1)&lt;=156),INDEX($E$2:$E$157,A141-CEILING(Assumptions!$E$31/30,1))*Assumptions!$B$31/100,0)</f>
      </c>
      <c r="P141" s="3">
        <f>K141+L141+M141+N141+O141</f>
      </c>
      <c r="Q141" s="2"/>
      <c r="R141" s="2"/>
      <c r="S141" s="2"/>
    </row>
    <row r="142" ht="19" customHeight="1" spans="1:19" x14ac:dyDescent="0.25">
      <c r="A142" s="4">
        <v>141</v>
      </c>
      <c r="B142" s="4">
        <v>12</v>
      </c>
      <c r="C142" s="3">
        <f>Assumptions!$B$5*Assumptions!$B$32*Assumptions!$B$6*D142</f>
      </c>
      <c r="D142" s="5">
        <f>IF(A142&lt;=3,Assumptions!$B$21,IF(A142&lt;=6,Assumptions!$B$22,IF(A142&lt;=12,Assumptions!$B$23,Assumptions!$B$24)))/100</f>
      </c>
      <c r="E142" s="3">
        <f>Assumptions!$B$5*Assumptions!$B$33*Assumptions!$B$6*D142</f>
      </c>
      <c r="F142" s="3">
        <f>Assumptions!$B$5*Assumptions!$B$7*Assumptions!$B$6*D142</f>
      </c>
      <c r="G142" s="3">
        <f>Assumptions!$B$8</f>
      </c>
      <c r="H142" s="3">
        <f>IF(INDEX(Assumptions!$B$35:$B$47,B142)&lt;&gt;"",INDEX(Assumptions!$B$35:$B$47,B142)/100*Assumptions!$B$2,IF(B142&lt;=Assumptions!$B$17,0,IF(B142&lt;=Assumptions!$B$17+Assumptions!$B$18,Assumptions!$B$19,Assumptions!$B$20)))/12</f>
      </c>
      <c r="I142" s="3">
        <f>IF(Assumptions!$B$12="Cash",0,IF(A142&lt;=Assumptions!$B$15,Monthly!$S$1,0))</f>
      </c>
      <c r="J142" s="3">
        <f>E142-F142-G142-H142-I142</f>
      </c>
      <c r="K142" s="3">
        <f>IF(AND(A142-CEILING(Assumptions!$E$27/30,1)&gt;=1,A142-CEILING(Assumptions!$E$27/30,1)&lt;=156),INDEX($E$2:$E$157,A142-CEILING(Assumptions!$E$27/30,1))*Assumptions!$B$27/100,0)</f>
      </c>
      <c r="L142" s="3">
        <f>IF(AND(A142-CEILING(Assumptions!$E$28/30,1)&gt;=1,A142-CEILING(Assumptions!$E$28/30,1)&lt;=156),INDEX($E$2:$E$157,A142-CEILING(Assumptions!$E$28/30,1))*Assumptions!$B$28/100,0)</f>
      </c>
      <c r="M142" s="3">
        <f>IF(AND(A142-CEILING(Assumptions!$E$29/30,1)&gt;=1,A142-CEILING(Assumptions!$E$29/30,1)&lt;=156),INDEX($E$2:$E$157,A142-CEILING(Assumptions!$E$29/30,1))*Assumptions!$B$29/100,0)</f>
      </c>
      <c r="N142" s="3">
        <f>IF(AND(A142-CEILING(Assumptions!$E$30/30,1)&gt;=1,A142-CEILING(Assumptions!$E$30/30,1)&lt;=156),INDEX($E$2:$E$157,A142-CEILING(Assumptions!$E$30/30,1))*Assumptions!$B$30/100,0)</f>
      </c>
      <c r="O142" s="3">
        <f>IF(AND(A142-CEILING(Assumptions!$E$31/30,1)&gt;=1,A142-CEILING(Assumptions!$E$31/30,1)&lt;=156),INDEX($E$2:$E$157,A142-CEILING(Assumptions!$E$31/30,1))*Assumptions!$B$31/100,0)</f>
      </c>
      <c r="P142" s="3">
        <f>K142+L142+M142+N142+O142</f>
      </c>
      <c r="Q142" s="2"/>
      <c r="R142" s="2"/>
      <c r="S142" s="2"/>
    </row>
    <row r="143" ht="19" customHeight="1" spans="1:19" x14ac:dyDescent="0.25">
      <c r="A143" s="4">
        <v>142</v>
      </c>
      <c r="B143" s="4">
        <v>12</v>
      </c>
      <c r="C143" s="3">
        <f>Assumptions!$B$5*Assumptions!$B$32*Assumptions!$B$6*D143</f>
      </c>
      <c r="D143" s="5">
        <f>IF(A143&lt;=3,Assumptions!$B$21,IF(A143&lt;=6,Assumptions!$B$22,IF(A143&lt;=12,Assumptions!$B$23,Assumptions!$B$24)))/100</f>
      </c>
      <c r="E143" s="3">
        <f>Assumptions!$B$5*Assumptions!$B$33*Assumptions!$B$6*D143</f>
      </c>
      <c r="F143" s="3">
        <f>Assumptions!$B$5*Assumptions!$B$7*Assumptions!$B$6*D143</f>
      </c>
      <c r="G143" s="3">
        <f>Assumptions!$B$8</f>
      </c>
      <c r="H143" s="3">
        <f>IF(INDEX(Assumptions!$B$35:$B$47,B143)&lt;&gt;"",INDEX(Assumptions!$B$35:$B$47,B143)/100*Assumptions!$B$2,IF(B143&lt;=Assumptions!$B$17,0,IF(B143&lt;=Assumptions!$B$17+Assumptions!$B$18,Assumptions!$B$19,Assumptions!$B$20)))/12</f>
      </c>
      <c r="I143" s="3">
        <f>IF(Assumptions!$B$12="Cash",0,IF(A143&lt;=Assumptions!$B$15,Monthly!$S$1,0))</f>
      </c>
      <c r="J143" s="3">
        <f>E143-F143-G143-H143-I143</f>
      </c>
      <c r="K143" s="3">
        <f>IF(AND(A143-CEILING(Assumptions!$E$27/30,1)&gt;=1,A143-CEILING(Assumptions!$E$27/30,1)&lt;=156),INDEX($E$2:$E$157,A143-CEILING(Assumptions!$E$27/30,1))*Assumptions!$B$27/100,0)</f>
      </c>
      <c r="L143" s="3">
        <f>IF(AND(A143-CEILING(Assumptions!$E$28/30,1)&gt;=1,A143-CEILING(Assumptions!$E$28/30,1)&lt;=156),INDEX($E$2:$E$157,A143-CEILING(Assumptions!$E$28/30,1))*Assumptions!$B$28/100,0)</f>
      </c>
      <c r="M143" s="3">
        <f>IF(AND(A143-CEILING(Assumptions!$E$29/30,1)&gt;=1,A143-CEILING(Assumptions!$E$29/30,1)&lt;=156),INDEX($E$2:$E$157,A143-CEILING(Assumptions!$E$29/30,1))*Assumptions!$B$29/100,0)</f>
      </c>
      <c r="N143" s="3">
        <f>IF(AND(A143-CEILING(Assumptions!$E$30/30,1)&gt;=1,A143-CEILING(Assumptions!$E$30/30,1)&lt;=156),INDEX($E$2:$E$157,A143-CEILING(Assumptions!$E$30/30,1))*Assumptions!$B$30/100,0)</f>
      </c>
      <c r="O143" s="3">
        <f>IF(AND(A143-CEILING(Assumptions!$E$31/30,1)&gt;=1,A143-CEILING(Assumptions!$E$31/30,1)&lt;=156),INDEX($E$2:$E$157,A143-CEILING(Assumptions!$E$31/30,1))*Assumptions!$B$31/100,0)</f>
      </c>
      <c r="P143" s="3">
        <f>K143+L143+M143+N143+O143</f>
      </c>
      <c r="Q143" s="2"/>
      <c r="R143" s="2"/>
      <c r="S143" s="2"/>
    </row>
    <row r="144" ht="19" customHeight="1" spans="1:19" x14ac:dyDescent="0.25">
      <c r="A144" s="4">
        <v>143</v>
      </c>
      <c r="B144" s="4">
        <v>12</v>
      </c>
      <c r="C144" s="3">
        <f>Assumptions!$B$5*Assumptions!$B$32*Assumptions!$B$6*D144</f>
      </c>
      <c r="D144" s="5">
        <f>IF(A144&lt;=3,Assumptions!$B$21,IF(A144&lt;=6,Assumptions!$B$22,IF(A144&lt;=12,Assumptions!$B$23,Assumptions!$B$24)))/100</f>
      </c>
      <c r="E144" s="3">
        <f>Assumptions!$B$5*Assumptions!$B$33*Assumptions!$B$6*D144</f>
      </c>
      <c r="F144" s="3">
        <f>Assumptions!$B$5*Assumptions!$B$7*Assumptions!$B$6*D144</f>
      </c>
      <c r="G144" s="3">
        <f>Assumptions!$B$8</f>
      </c>
      <c r="H144" s="3">
        <f>IF(INDEX(Assumptions!$B$35:$B$47,B144)&lt;&gt;"",INDEX(Assumptions!$B$35:$B$47,B144)/100*Assumptions!$B$2,IF(B144&lt;=Assumptions!$B$17,0,IF(B144&lt;=Assumptions!$B$17+Assumptions!$B$18,Assumptions!$B$19,Assumptions!$B$20)))/12</f>
      </c>
      <c r="I144" s="3">
        <f>IF(Assumptions!$B$12="Cash",0,IF(A144&lt;=Assumptions!$B$15,Monthly!$S$1,0))</f>
      </c>
      <c r="J144" s="3">
        <f>E144-F144-G144-H144-I144</f>
      </c>
      <c r="K144" s="3">
        <f>IF(AND(A144-CEILING(Assumptions!$E$27/30,1)&gt;=1,A144-CEILING(Assumptions!$E$27/30,1)&lt;=156),INDEX($E$2:$E$157,A144-CEILING(Assumptions!$E$27/30,1))*Assumptions!$B$27/100,0)</f>
      </c>
      <c r="L144" s="3">
        <f>IF(AND(A144-CEILING(Assumptions!$E$28/30,1)&gt;=1,A144-CEILING(Assumptions!$E$28/30,1)&lt;=156),INDEX($E$2:$E$157,A144-CEILING(Assumptions!$E$28/30,1))*Assumptions!$B$28/100,0)</f>
      </c>
      <c r="M144" s="3">
        <f>IF(AND(A144-CEILING(Assumptions!$E$29/30,1)&gt;=1,A144-CEILING(Assumptions!$E$29/30,1)&lt;=156),INDEX($E$2:$E$157,A144-CEILING(Assumptions!$E$29/30,1))*Assumptions!$B$29/100,0)</f>
      </c>
      <c r="N144" s="3">
        <f>IF(AND(A144-CEILING(Assumptions!$E$30/30,1)&gt;=1,A144-CEILING(Assumptions!$E$30/30,1)&lt;=156),INDEX($E$2:$E$157,A144-CEILING(Assumptions!$E$30/30,1))*Assumptions!$B$30/100,0)</f>
      </c>
      <c r="O144" s="3">
        <f>IF(AND(A144-CEILING(Assumptions!$E$31/30,1)&gt;=1,A144-CEILING(Assumptions!$E$31/30,1)&lt;=156),INDEX($E$2:$E$157,A144-CEILING(Assumptions!$E$31/30,1))*Assumptions!$B$31/100,0)</f>
      </c>
      <c r="P144" s="3">
        <f>K144+L144+M144+N144+O144</f>
      </c>
      <c r="Q144" s="2"/>
      <c r="R144" s="2"/>
      <c r="S144" s="2"/>
    </row>
    <row r="145" ht="19" customHeight="1" spans="1:19" x14ac:dyDescent="0.25">
      <c r="A145" s="4">
        <v>144</v>
      </c>
      <c r="B145" s="4">
        <v>12</v>
      </c>
      <c r="C145" s="3">
        <f>Assumptions!$B$5*Assumptions!$B$32*Assumptions!$B$6*D145</f>
      </c>
      <c r="D145" s="5">
        <f>IF(A145&lt;=3,Assumptions!$B$21,IF(A145&lt;=6,Assumptions!$B$22,IF(A145&lt;=12,Assumptions!$B$23,Assumptions!$B$24)))/100</f>
      </c>
      <c r="E145" s="3">
        <f>Assumptions!$B$5*Assumptions!$B$33*Assumptions!$B$6*D145</f>
      </c>
      <c r="F145" s="3">
        <f>Assumptions!$B$5*Assumptions!$B$7*Assumptions!$B$6*D145</f>
      </c>
      <c r="G145" s="3">
        <f>Assumptions!$B$8</f>
      </c>
      <c r="H145" s="3">
        <f>IF(INDEX(Assumptions!$B$35:$B$47,B145)&lt;&gt;"",INDEX(Assumptions!$B$35:$B$47,B145)/100*Assumptions!$B$2,IF(B145&lt;=Assumptions!$B$17,0,IF(B145&lt;=Assumptions!$B$17+Assumptions!$B$18,Assumptions!$B$19,Assumptions!$B$20)))/12</f>
      </c>
      <c r="I145" s="3">
        <f>IF(Assumptions!$B$12="Cash",0,IF(A145&lt;=Assumptions!$B$15,Monthly!$S$1,0))</f>
      </c>
      <c r="J145" s="3">
        <f>E145-F145-G145-H145-I145</f>
      </c>
      <c r="K145" s="3">
        <f>IF(AND(A145-CEILING(Assumptions!$E$27/30,1)&gt;=1,A145-CEILING(Assumptions!$E$27/30,1)&lt;=156),INDEX($E$2:$E$157,A145-CEILING(Assumptions!$E$27/30,1))*Assumptions!$B$27/100,0)</f>
      </c>
      <c r="L145" s="3">
        <f>IF(AND(A145-CEILING(Assumptions!$E$28/30,1)&gt;=1,A145-CEILING(Assumptions!$E$28/30,1)&lt;=156),INDEX($E$2:$E$157,A145-CEILING(Assumptions!$E$28/30,1))*Assumptions!$B$28/100,0)</f>
      </c>
      <c r="M145" s="3">
        <f>IF(AND(A145-CEILING(Assumptions!$E$29/30,1)&gt;=1,A145-CEILING(Assumptions!$E$29/30,1)&lt;=156),INDEX($E$2:$E$157,A145-CEILING(Assumptions!$E$29/30,1))*Assumptions!$B$29/100,0)</f>
      </c>
      <c r="N145" s="3">
        <f>IF(AND(A145-CEILING(Assumptions!$E$30/30,1)&gt;=1,A145-CEILING(Assumptions!$E$30/30,1)&lt;=156),INDEX($E$2:$E$157,A145-CEILING(Assumptions!$E$30/30,1))*Assumptions!$B$30/100,0)</f>
      </c>
      <c r="O145" s="3">
        <f>IF(AND(A145-CEILING(Assumptions!$E$31/30,1)&gt;=1,A145-CEILING(Assumptions!$E$31/30,1)&lt;=156),INDEX($E$2:$E$157,A145-CEILING(Assumptions!$E$31/30,1))*Assumptions!$B$31/100,0)</f>
      </c>
      <c r="P145" s="3">
        <f>K145+L145+M145+N145+O145</f>
      </c>
      <c r="Q145" s="2"/>
      <c r="R145" s="2"/>
      <c r="S145" s="2"/>
    </row>
    <row r="146" ht="19" customHeight="1" spans="1:19" x14ac:dyDescent="0.25">
      <c r="A146" s="4">
        <v>145</v>
      </c>
      <c r="B146" s="4">
        <v>13</v>
      </c>
      <c r="C146" s="3">
        <f>Assumptions!$B$5*Assumptions!$B$32*Assumptions!$B$6*D146</f>
      </c>
      <c r="D146" s="5">
        <f>IF(A146&lt;=3,Assumptions!$B$21,IF(A146&lt;=6,Assumptions!$B$22,IF(A146&lt;=12,Assumptions!$B$23,Assumptions!$B$24)))/100</f>
      </c>
      <c r="E146" s="3">
        <f>Assumptions!$B$5*Assumptions!$B$33*Assumptions!$B$6*D146</f>
      </c>
      <c r="F146" s="3">
        <f>Assumptions!$B$5*Assumptions!$B$7*Assumptions!$B$6*D146</f>
      </c>
      <c r="G146" s="3">
        <f>Assumptions!$B$8</f>
      </c>
      <c r="H146" s="3">
        <f>IF(INDEX(Assumptions!$B$35:$B$47,B146)&lt;&gt;"",INDEX(Assumptions!$B$35:$B$47,B146)/100*Assumptions!$B$2,IF(B146&lt;=Assumptions!$B$17,0,IF(B146&lt;=Assumptions!$B$17+Assumptions!$B$18,Assumptions!$B$19,Assumptions!$B$20)))/12</f>
      </c>
      <c r="I146" s="3">
        <f>IF(Assumptions!$B$12="Cash",0,IF(A146&lt;=Assumptions!$B$15,Monthly!$S$1,0))</f>
      </c>
      <c r="J146" s="3">
        <f>E146-F146-G146-H146-I146</f>
      </c>
      <c r="K146" s="3">
        <f>IF(AND(A146-CEILING(Assumptions!$E$27/30,1)&gt;=1,A146-CEILING(Assumptions!$E$27/30,1)&lt;=156),INDEX($E$2:$E$157,A146-CEILING(Assumptions!$E$27/30,1))*Assumptions!$B$27/100,0)</f>
      </c>
      <c r="L146" s="3">
        <f>IF(AND(A146-CEILING(Assumptions!$E$28/30,1)&gt;=1,A146-CEILING(Assumptions!$E$28/30,1)&lt;=156),INDEX($E$2:$E$157,A146-CEILING(Assumptions!$E$28/30,1))*Assumptions!$B$28/100,0)</f>
      </c>
      <c r="M146" s="3">
        <f>IF(AND(A146-CEILING(Assumptions!$E$29/30,1)&gt;=1,A146-CEILING(Assumptions!$E$29/30,1)&lt;=156),INDEX($E$2:$E$157,A146-CEILING(Assumptions!$E$29/30,1))*Assumptions!$B$29/100,0)</f>
      </c>
      <c r="N146" s="3">
        <f>IF(AND(A146-CEILING(Assumptions!$E$30/30,1)&gt;=1,A146-CEILING(Assumptions!$E$30/30,1)&lt;=156),INDEX($E$2:$E$157,A146-CEILING(Assumptions!$E$30/30,1))*Assumptions!$B$30/100,0)</f>
      </c>
      <c r="O146" s="3">
        <f>IF(AND(A146-CEILING(Assumptions!$E$31/30,1)&gt;=1,A146-CEILING(Assumptions!$E$31/30,1)&lt;=156),INDEX($E$2:$E$157,A146-CEILING(Assumptions!$E$31/30,1))*Assumptions!$B$31/100,0)</f>
      </c>
      <c r="P146" s="3">
        <f>K146+L146+M146+N146+O146</f>
      </c>
      <c r="Q146" s="2"/>
      <c r="R146" s="2"/>
      <c r="S146" s="2"/>
    </row>
    <row r="147" ht="19" customHeight="1" spans="1:19" x14ac:dyDescent="0.25">
      <c r="A147" s="4">
        <v>146</v>
      </c>
      <c r="B147" s="4">
        <v>13</v>
      </c>
      <c r="C147" s="3">
        <f>Assumptions!$B$5*Assumptions!$B$32*Assumptions!$B$6*D147</f>
      </c>
      <c r="D147" s="5">
        <f>IF(A147&lt;=3,Assumptions!$B$21,IF(A147&lt;=6,Assumptions!$B$22,IF(A147&lt;=12,Assumptions!$B$23,Assumptions!$B$24)))/100</f>
      </c>
      <c r="E147" s="3">
        <f>Assumptions!$B$5*Assumptions!$B$33*Assumptions!$B$6*D147</f>
      </c>
      <c r="F147" s="3">
        <f>Assumptions!$B$5*Assumptions!$B$7*Assumptions!$B$6*D147</f>
      </c>
      <c r="G147" s="3">
        <f>Assumptions!$B$8</f>
      </c>
      <c r="H147" s="3">
        <f>IF(INDEX(Assumptions!$B$35:$B$47,B147)&lt;&gt;"",INDEX(Assumptions!$B$35:$B$47,B147)/100*Assumptions!$B$2,IF(B147&lt;=Assumptions!$B$17,0,IF(B147&lt;=Assumptions!$B$17+Assumptions!$B$18,Assumptions!$B$19,Assumptions!$B$20)))/12</f>
      </c>
      <c r="I147" s="3">
        <f>IF(Assumptions!$B$12="Cash",0,IF(A147&lt;=Assumptions!$B$15,Monthly!$S$1,0))</f>
      </c>
      <c r="J147" s="3">
        <f>E147-F147-G147-H147-I147</f>
      </c>
      <c r="K147" s="3">
        <f>IF(AND(A147-CEILING(Assumptions!$E$27/30,1)&gt;=1,A147-CEILING(Assumptions!$E$27/30,1)&lt;=156),INDEX($E$2:$E$157,A147-CEILING(Assumptions!$E$27/30,1))*Assumptions!$B$27/100,0)</f>
      </c>
      <c r="L147" s="3">
        <f>IF(AND(A147-CEILING(Assumptions!$E$28/30,1)&gt;=1,A147-CEILING(Assumptions!$E$28/30,1)&lt;=156),INDEX($E$2:$E$157,A147-CEILING(Assumptions!$E$28/30,1))*Assumptions!$B$28/100,0)</f>
      </c>
      <c r="M147" s="3">
        <f>IF(AND(A147-CEILING(Assumptions!$E$29/30,1)&gt;=1,A147-CEILING(Assumptions!$E$29/30,1)&lt;=156),INDEX($E$2:$E$157,A147-CEILING(Assumptions!$E$29/30,1))*Assumptions!$B$29/100,0)</f>
      </c>
      <c r="N147" s="3">
        <f>IF(AND(A147-CEILING(Assumptions!$E$30/30,1)&gt;=1,A147-CEILING(Assumptions!$E$30/30,1)&lt;=156),INDEX($E$2:$E$157,A147-CEILING(Assumptions!$E$30/30,1))*Assumptions!$B$30/100,0)</f>
      </c>
      <c r="O147" s="3">
        <f>IF(AND(A147-CEILING(Assumptions!$E$31/30,1)&gt;=1,A147-CEILING(Assumptions!$E$31/30,1)&lt;=156),INDEX($E$2:$E$157,A147-CEILING(Assumptions!$E$31/30,1))*Assumptions!$B$31/100,0)</f>
      </c>
      <c r="P147" s="3">
        <f>K147+L147+M147+N147+O147</f>
      </c>
      <c r="Q147" s="2"/>
      <c r="R147" s="2"/>
      <c r="S147" s="2"/>
    </row>
    <row r="148" ht="19" customHeight="1" spans="1:19" x14ac:dyDescent="0.25">
      <c r="A148" s="4">
        <v>147</v>
      </c>
      <c r="B148" s="4">
        <v>13</v>
      </c>
      <c r="C148" s="3">
        <f>Assumptions!$B$5*Assumptions!$B$32*Assumptions!$B$6*D148</f>
      </c>
      <c r="D148" s="5">
        <f>IF(A148&lt;=3,Assumptions!$B$21,IF(A148&lt;=6,Assumptions!$B$22,IF(A148&lt;=12,Assumptions!$B$23,Assumptions!$B$24)))/100</f>
      </c>
      <c r="E148" s="3">
        <f>Assumptions!$B$5*Assumptions!$B$33*Assumptions!$B$6*D148</f>
      </c>
      <c r="F148" s="3">
        <f>Assumptions!$B$5*Assumptions!$B$7*Assumptions!$B$6*D148</f>
      </c>
      <c r="G148" s="3">
        <f>Assumptions!$B$8</f>
      </c>
      <c r="H148" s="3">
        <f>IF(INDEX(Assumptions!$B$35:$B$47,B148)&lt;&gt;"",INDEX(Assumptions!$B$35:$B$47,B148)/100*Assumptions!$B$2,IF(B148&lt;=Assumptions!$B$17,0,IF(B148&lt;=Assumptions!$B$17+Assumptions!$B$18,Assumptions!$B$19,Assumptions!$B$20)))/12</f>
      </c>
      <c r="I148" s="3">
        <f>IF(Assumptions!$B$12="Cash",0,IF(A148&lt;=Assumptions!$B$15,Monthly!$S$1,0))</f>
      </c>
      <c r="J148" s="3">
        <f>E148-F148-G148-H148-I148</f>
      </c>
      <c r="K148" s="3">
        <f>IF(AND(A148-CEILING(Assumptions!$E$27/30,1)&gt;=1,A148-CEILING(Assumptions!$E$27/30,1)&lt;=156),INDEX($E$2:$E$157,A148-CEILING(Assumptions!$E$27/30,1))*Assumptions!$B$27/100,0)</f>
      </c>
      <c r="L148" s="3">
        <f>IF(AND(A148-CEILING(Assumptions!$E$28/30,1)&gt;=1,A148-CEILING(Assumptions!$E$28/30,1)&lt;=156),INDEX($E$2:$E$157,A148-CEILING(Assumptions!$E$28/30,1))*Assumptions!$B$28/100,0)</f>
      </c>
      <c r="M148" s="3">
        <f>IF(AND(A148-CEILING(Assumptions!$E$29/30,1)&gt;=1,A148-CEILING(Assumptions!$E$29/30,1)&lt;=156),INDEX($E$2:$E$157,A148-CEILING(Assumptions!$E$29/30,1))*Assumptions!$B$29/100,0)</f>
      </c>
      <c r="N148" s="3">
        <f>IF(AND(A148-CEILING(Assumptions!$E$30/30,1)&gt;=1,A148-CEILING(Assumptions!$E$30/30,1)&lt;=156),INDEX($E$2:$E$157,A148-CEILING(Assumptions!$E$30/30,1))*Assumptions!$B$30/100,0)</f>
      </c>
      <c r="O148" s="3">
        <f>IF(AND(A148-CEILING(Assumptions!$E$31/30,1)&gt;=1,A148-CEILING(Assumptions!$E$31/30,1)&lt;=156),INDEX($E$2:$E$157,A148-CEILING(Assumptions!$E$31/30,1))*Assumptions!$B$31/100,0)</f>
      </c>
      <c r="P148" s="3">
        <f>K148+L148+M148+N148+O148</f>
      </c>
      <c r="Q148" s="2"/>
      <c r="R148" s="2"/>
      <c r="S148" s="2"/>
    </row>
    <row r="149" ht="19" customHeight="1" spans="1:19" x14ac:dyDescent="0.25">
      <c r="A149" s="4">
        <v>148</v>
      </c>
      <c r="B149" s="4">
        <v>13</v>
      </c>
      <c r="C149" s="3">
        <f>Assumptions!$B$5*Assumptions!$B$32*Assumptions!$B$6*D149</f>
      </c>
      <c r="D149" s="5">
        <f>IF(A149&lt;=3,Assumptions!$B$21,IF(A149&lt;=6,Assumptions!$B$22,IF(A149&lt;=12,Assumptions!$B$23,Assumptions!$B$24)))/100</f>
      </c>
      <c r="E149" s="3">
        <f>Assumptions!$B$5*Assumptions!$B$33*Assumptions!$B$6*D149</f>
      </c>
      <c r="F149" s="3">
        <f>Assumptions!$B$5*Assumptions!$B$7*Assumptions!$B$6*D149</f>
      </c>
      <c r="G149" s="3">
        <f>Assumptions!$B$8</f>
      </c>
      <c r="H149" s="3">
        <f>IF(INDEX(Assumptions!$B$35:$B$47,B149)&lt;&gt;"",INDEX(Assumptions!$B$35:$B$47,B149)/100*Assumptions!$B$2,IF(B149&lt;=Assumptions!$B$17,0,IF(B149&lt;=Assumptions!$B$17+Assumptions!$B$18,Assumptions!$B$19,Assumptions!$B$20)))/12</f>
      </c>
      <c r="I149" s="3">
        <f>IF(Assumptions!$B$12="Cash",0,IF(A149&lt;=Assumptions!$B$15,Monthly!$S$1,0))</f>
      </c>
      <c r="J149" s="3">
        <f>E149-F149-G149-H149-I149</f>
      </c>
      <c r="K149" s="3">
        <f>IF(AND(A149-CEILING(Assumptions!$E$27/30,1)&gt;=1,A149-CEILING(Assumptions!$E$27/30,1)&lt;=156),INDEX($E$2:$E$157,A149-CEILING(Assumptions!$E$27/30,1))*Assumptions!$B$27/100,0)</f>
      </c>
      <c r="L149" s="3">
        <f>IF(AND(A149-CEILING(Assumptions!$E$28/30,1)&gt;=1,A149-CEILING(Assumptions!$E$28/30,1)&lt;=156),INDEX($E$2:$E$157,A149-CEILING(Assumptions!$E$28/30,1))*Assumptions!$B$28/100,0)</f>
      </c>
      <c r="M149" s="3">
        <f>IF(AND(A149-CEILING(Assumptions!$E$29/30,1)&gt;=1,A149-CEILING(Assumptions!$E$29/30,1)&lt;=156),INDEX($E$2:$E$157,A149-CEILING(Assumptions!$E$29/30,1))*Assumptions!$B$29/100,0)</f>
      </c>
      <c r="N149" s="3">
        <f>IF(AND(A149-CEILING(Assumptions!$E$30/30,1)&gt;=1,A149-CEILING(Assumptions!$E$30/30,1)&lt;=156),INDEX($E$2:$E$157,A149-CEILING(Assumptions!$E$30/30,1))*Assumptions!$B$30/100,0)</f>
      </c>
      <c r="O149" s="3">
        <f>IF(AND(A149-CEILING(Assumptions!$E$31/30,1)&gt;=1,A149-CEILING(Assumptions!$E$31/30,1)&lt;=156),INDEX($E$2:$E$157,A149-CEILING(Assumptions!$E$31/30,1))*Assumptions!$B$31/100,0)</f>
      </c>
      <c r="P149" s="3">
        <f>K149+L149+M149+N149+O149</f>
      </c>
      <c r="Q149" s="2"/>
      <c r="R149" s="2"/>
      <c r="S149" s="2"/>
    </row>
    <row r="150" ht="19" customHeight="1" spans="1:19" x14ac:dyDescent="0.25">
      <c r="A150" s="4">
        <v>149</v>
      </c>
      <c r="B150" s="4">
        <v>13</v>
      </c>
      <c r="C150" s="3">
        <f>Assumptions!$B$5*Assumptions!$B$32*Assumptions!$B$6*D150</f>
      </c>
      <c r="D150" s="5">
        <f>IF(A150&lt;=3,Assumptions!$B$21,IF(A150&lt;=6,Assumptions!$B$22,IF(A150&lt;=12,Assumptions!$B$23,Assumptions!$B$24)))/100</f>
      </c>
      <c r="E150" s="3">
        <f>Assumptions!$B$5*Assumptions!$B$33*Assumptions!$B$6*D150</f>
      </c>
      <c r="F150" s="3">
        <f>Assumptions!$B$5*Assumptions!$B$7*Assumptions!$B$6*D150</f>
      </c>
      <c r="G150" s="3">
        <f>Assumptions!$B$8</f>
      </c>
      <c r="H150" s="3">
        <f>IF(INDEX(Assumptions!$B$35:$B$47,B150)&lt;&gt;"",INDEX(Assumptions!$B$35:$B$47,B150)/100*Assumptions!$B$2,IF(B150&lt;=Assumptions!$B$17,0,IF(B150&lt;=Assumptions!$B$17+Assumptions!$B$18,Assumptions!$B$19,Assumptions!$B$20)))/12</f>
      </c>
      <c r="I150" s="3">
        <f>IF(Assumptions!$B$12="Cash",0,IF(A150&lt;=Assumptions!$B$15,Monthly!$S$1,0))</f>
      </c>
      <c r="J150" s="3">
        <f>E150-F150-G150-H150-I150</f>
      </c>
      <c r="K150" s="3">
        <f>IF(AND(A150-CEILING(Assumptions!$E$27/30,1)&gt;=1,A150-CEILING(Assumptions!$E$27/30,1)&lt;=156),INDEX($E$2:$E$157,A150-CEILING(Assumptions!$E$27/30,1))*Assumptions!$B$27/100,0)</f>
      </c>
      <c r="L150" s="3">
        <f>IF(AND(A150-CEILING(Assumptions!$E$28/30,1)&gt;=1,A150-CEILING(Assumptions!$E$28/30,1)&lt;=156),INDEX($E$2:$E$157,A150-CEILING(Assumptions!$E$28/30,1))*Assumptions!$B$28/100,0)</f>
      </c>
      <c r="M150" s="3">
        <f>IF(AND(A150-CEILING(Assumptions!$E$29/30,1)&gt;=1,A150-CEILING(Assumptions!$E$29/30,1)&lt;=156),INDEX($E$2:$E$157,A150-CEILING(Assumptions!$E$29/30,1))*Assumptions!$B$29/100,0)</f>
      </c>
      <c r="N150" s="3">
        <f>IF(AND(A150-CEILING(Assumptions!$E$30/30,1)&gt;=1,A150-CEILING(Assumptions!$E$30/30,1)&lt;=156),INDEX($E$2:$E$157,A150-CEILING(Assumptions!$E$30/30,1))*Assumptions!$B$30/100,0)</f>
      </c>
      <c r="O150" s="3">
        <f>IF(AND(A150-CEILING(Assumptions!$E$31/30,1)&gt;=1,A150-CEILING(Assumptions!$E$31/30,1)&lt;=156),INDEX($E$2:$E$157,A150-CEILING(Assumptions!$E$31/30,1))*Assumptions!$B$31/100,0)</f>
      </c>
      <c r="P150" s="3">
        <f>K150+L150+M150+N150+O150</f>
      </c>
      <c r="Q150" s="2"/>
      <c r="R150" s="2"/>
      <c r="S150" s="2"/>
    </row>
    <row r="151" ht="19" customHeight="1" spans="1:19" x14ac:dyDescent="0.25">
      <c r="A151" s="4">
        <v>150</v>
      </c>
      <c r="B151" s="4">
        <v>13</v>
      </c>
      <c r="C151" s="3">
        <f>Assumptions!$B$5*Assumptions!$B$32*Assumptions!$B$6*D151</f>
      </c>
      <c r="D151" s="5">
        <f>IF(A151&lt;=3,Assumptions!$B$21,IF(A151&lt;=6,Assumptions!$B$22,IF(A151&lt;=12,Assumptions!$B$23,Assumptions!$B$24)))/100</f>
      </c>
      <c r="E151" s="3">
        <f>Assumptions!$B$5*Assumptions!$B$33*Assumptions!$B$6*D151</f>
      </c>
      <c r="F151" s="3">
        <f>Assumptions!$B$5*Assumptions!$B$7*Assumptions!$B$6*D151</f>
      </c>
      <c r="G151" s="3">
        <f>Assumptions!$B$8</f>
      </c>
      <c r="H151" s="3">
        <f>IF(INDEX(Assumptions!$B$35:$B$47,B151)&lt;&gt;"",INDEX(Assumptions!$B$35:$B$47,B151)/100*Assumptions!$B$2,IF(B151&lt;=Assumptions!$B$17,0,IF(B151&lt;=Assumptions!$B$17+Assumptions!$B$18,Assumptions!$B$19,Assumptions!$B$20)))/12</f>
      </c>
      <c r="I151" s="3">
        <f>IF(Assumptions!$B$12="Cash",0,IF(A151&lt;=Assumptions!$B$15,Monthly!$S$1,0))</f>
      </c>
      <c r="J151" s="3">
        <f>E151-F151-G151-H151-I151</f>
      </c>
      <c r="K151" s="3">
        <f>IF(AND(A151-CEILING(Assumptions!$E$27/30,1)&gt;=1,A151-CEILING(Assumptions!$E$27/30,1)&lt;=156),INDEX($E$2:$E$157,A151-CEILING(Assumptions!$E$27/30,1))*Assumptions!$B$27/100,0)</f>
      </c>
      <c r="L151" s="3">
        <f>IF(AND(A151-CEILING(Assumptions!$E$28/30,1)&gt;=1,A151-CEILING(Assumptions!$E$28/30,1)&lt;=156),INDEX($E$2:$E$157,A151-CEILING(Assumptions!$E$28/30,1))*Assumptions!$B$28/100,0)</f>
      </c>
      <c r="M151" s="3">
        <f>IF(AND(A151-CEILING(Assumptions!$E$29/30,1)&gt;=1,A151-CEILING(Assumptions!$E$29/30,1)&lt;=156),INDEX($E$2:$E$157,A151-CEILING(Assumptions!$E$29/30,1))*Assumptions!$B$29/100,0)</f>
      </c>
      <c r="N151" s="3">
        <f>IF(AND(A151-CEILING(Assumptions!$E$30/30,1)&gt;=1,A151-CEILING(Assumptions!$E$30/30,1)&lt;=156),INDEX($E$2:$E$157,A151-CEILING(Assumptions!$E$30/30,1))*Assumptions!$B$30/100,0)</f>
      </c>
      <c r="O151" s="3">
        <f>IF(AND(A151-CEILING(Assumptions!$E$31/30,1)&gt;=1,A151-CEILING(Assumptions!$E$31/30,1)&lt;=156),INDEX($E$2:$E$157,A151-CEILING(Assumptions!$E$31/30,1))*Assumptions!$B$31/100,0)</f>
      </c>
      <c r="P151" s="3">
        <f>K151+L151+M151+N151+O151</f>
      </c>
      <c r="Q151" s="2"/>
      <c r="R151" s="2"/>
      <c r="S151" s="2"/>
    </row>
    <row r="152" ht="19" customHeight="1" spans="1:19" x14ac:dyDescent="0.25">
      <c r="A152" s="4">
        <v>151</v>
      </c>
      <c r="B152" s="4">
        <v>13</v>
      </c>
      <c r="C152" s="3">
        <f>Assumptions!$B$5*Assumptions!$B$32*Assumptions!$B$6*D152</f>
      </c>
      <c r="D152" s="5">
        <f>IF(A152&lt;=3,Assumptions!$B$21,IF(A152&lt;=6,Assumptions!$B$22,IF(A152&lt;=12,Assumptions!$B$23,Assumptions!$B$24)))/100</f>
      </c>
      <c r="E152" s="3">
        <f>Assumptions!$B$5*Assumptions!$B$33*Assumptions!$B$6*D152</f>
      </c>
      <c r="F152" s="3">
        <f>Assumptions!$B$5*Assumptions!$B$7*Assumptions!$B$6*D152</f>
      </c>
      <c r="G152" s="3">
        <f>Assumptions!$B$8</f>
      </c>
      <c r="H152" s="3">
        <f>IF(INDEX(Assumptions!$B$35:$B$47,B152)&lt;&gt;"",INDEX(Assumptions!$B$35:$B$47,B152)/100*Assumptions!$B$2,IF(B152&lt;=Assumptions!$B$17,0,IF(B152&lt;=Assumptions!$B$17+Assumptions!$B$18,Assumptions!$B$19,Assumptions!$B$20)))/12</f>
      </c>
      <c r="I152" s="3">
        <f>IF(Assumptions!$B$12="Cash",0,IF(A152&lt;=Assumptions!$B$15,Monthly!$S$1,0))</f>
      </c>
      <c r="J152" s="3">
        <f>E152-F152-G152-H152-I152</f>
      </c>
      <c r="K152" s="3">
        <f>IF(AND(A152-CEILING(Assumptions!$E$27/30,1)&gt;=1,A152-CEILING(Assumptions!$E$27/30,1)&lt;=156),INDEX($E$2:$E$157,A152-CEILING(Assumptions!$E$27/30,1))*Assumptions!$B$27/100,0)</f>
      </c>
      <c r="L152" s="3">
        <f>IF(AND(A152-CEILING(Assumptions!$E$28/30,1)&gt;=1,A152-CEILING(Assumptions!$E$28/30,1)&lt;=156),INDEX($E$2:$E$157,A152-CEILING(Assumptions!$E$28/30,1))*Assumptions!$B$28/100,0)</f>
      </c>
      <c r="M152" s="3">
        <f>IF(AND(A152-CEILING(Assumptions!$E$29/30,1)&gt;=1,A152-CEILING(Assumptions!$E$29/30,1)&lt;=156),INDEX($E$2:$E$157,A152-CEILING(Assumptions!$E$29/30,1))*Assumptions!$B$29/100,0)</f>
      </c>
      <c r="N152" s="3">
        <f>IF(AND(A152-CEILING(Assumptions!$E$30/30,1)&gt;=1,A152-CEILING(Assumptions!$E$30/30,1)&lt;=156),INDEX($E$2:$E$157,A152-CEILING(Assumptions!$E$30/30,1))*Assumptions!$B$30/100,0)</f>
      </c>
      <c r="O152" s="3">
        <f>IF(AND(A152-CEILING(Assumptions!$E$31/30,1)&gt;=1,A152-CEILING(Assumptions!$E$31/30,1)&lt;=156),INDEX($E$2:$E$157,A152-CEILING(Assumptions!$E$31/30,1))*Assumptions!$B$31/100,0)</f>
      </c>
      <c r="P152" s="3">
        <f>K152+L152+M152+N152+O152</f>
      </c>
      <c r="Q152" s="2"/>
      <c r="R152" s="2"/>
      <c r="S152" s="2"/>
    </row>
    <row r="153" ht="19" customHeight="1" spans="1:19" x14ac:dyDescent="0.25">
      <c r="A153" s="4">
        <v>152</v>
      </c>
      <c r="B153" s="4">
        <v>13</v>
      </c>
      <c r="C153" s="3">
        <f>Assumptions!$B$5*Assumptions!$B$32*Assumptions!$B$6*D153</f>
      </c>
      <c r="D153" s="5">
        <f>IF(A153&lt;=3,Assumptions!$B$21,IF(A153&lt;=6,Assumptions!$B$22,IF(A153&lt;=12,Assumptions!$B$23,Assumptions!$B$24)))/100</f>
      </c>
      <c r="E153" s="3">
        <f>Assumptions!$B$5*Assumptions!$B$33*Assumptions!$B$6*D153</f>
      </c>
      <c r="F153" s="3">
        <f>Assumptions!$B$5*Assumptions!$B$7*Assumptions!$B$6*D153</f>
      </c>
      <c r="G153" s="3">
        <f>Assumptions!$B$8</f>
      </c>
      <c r="H153" s="3">
        <f>IF(INDEX(Assumptions!$B$35:$B$47,B153)&lt;&gt;"",INDEX(Assumptions!$B$35:$B$47,B153)/100*Assumptions!$B$2,IF(B153&lt;=Assumptions!$B$17,0,IF(B153&lt;=Assumptions!$B$17+Assumptions!$B$18,Assumptions!$B$19,Assumptions!$B$20)))/12</f>
      </c>
      <c r="I153" s="3">
        <f>IF(Assumptions!$B$12="Cash",0,IF(A153&lt;=Assumptions!$B$15,Monthly!$S$1,0))</f>
      </c>
      <c r="J153" s="3">
        <f>E153-F153-G153-H153-I153</f>
      </c>
      <c r="K153" s="3">
        <f>IF(AND(A153-CEILING(Assumptions!$E$27/30,1)&gt;=1,A153-CEILING(Assumptions!$E$27/30,1)&lt;=156),INDEX($E$2:$E$157,A153-CEILING(Assumptions!$E$27/30,1))*Assumptions!$B$27/100,0)</f>
      </c>
      <c r="L153" s="3">
        <f>IF(AND(A153-CEILING(Assumptions!$E$28/30,1)&gt;=1,A153-CEILING(Assumptions!$E$28/30,1)&lt;=156),INDEX($E$2:$E$157,A153-CEILING(Assumptions!$E$28/30,1))*Assumptions!$B$28/100,0)</f>
      </c>
      <c r="M153" s="3">
        <f>IF(AND(A153-CEILING(Assumptions!$E$29/30,1)&gt;=1,A153-CEILING(Assumptions!$E$29/30,1)&lt;=156),INDEX($E$2:$E$157,A153-CEILING(Assumptions!$E$29/30,1))*Assumptions!$B$29/100,0)</f>
      </c>
      <c r="N153" s="3">
        <f>IF(AND(A153-CEILING(Assumptions!$E$30/30,1)&gt;=1,A153-CEILING(Assumptions!$E$30/30,1)&lt;=156),INDEX($E$2:$E$157,A153-CEILING(Assumptions!$E$30/30,1))*Assumptions!$B$30/100,0)</f>
      </c>
      <c r="O153" s="3">
        <f>IF(AND(A153-CEILING(Assumptions!$E$31/30,1)&gt;=1,A153-CEILING(Assumptions!$E$31/30,1)&lt;=156),INDEX($E$2:$E$157,A153-CEILING(Assumptions!$E$31/30,1))*Assumptions!$B$31/100,0)</f>
      </c>
      <c r="P153" s="3">
        <f>K153+L153+M153+N153+O153</f>
      </c>
      <c r="Q153" s="2"/>
      <c r="R153" s="2"/>
      <c r="S153" s="2"/>
    </row>
    <row r="154" ht="19" customHeight="1" spans="1:19" x14ac:dyDescent="0.25">
      <c r="A154" s="4">
        <v>153</v>
      </c>
      <c r="B154" s="4">
        <v>13</v>
      </c>
      <c r="C154" s="3">
        <f>Assumptions!$B$5*Assumptions!$B$32*Assumptions!$B$6*D154</f>
      </c>
      <c r="D154" s="5">
        <f>IF(A154&lt;=3,Assumptions!$B$21,IF(A154&lt;=6,Assumptions!$B$22,IF(A154&lt;=12,Assumptions!$B$23,Assumptions!$B$24)))/100</f>
      </c>
      <c r="E154" s="3">
        <f>Assumptions!$B$5*Assumptions!$B$33*Assumptions!$B$6*D154</f>
      </c>
      <c r="F154" s="3">
        <f>Assumptions!$B$5*Assumptions!$B$7*Assumptions!$B$6*D154</f>
      </c>
      <c r="G154" s="3">
        <f>Assumptions!$B$8</f>
      </c>
      <c r="H154" s="3">
        <f>IF(INDEX(Assumptions!$B$35:$B$47,B154)&lt;&gt;"",INDEX(Assumptions!$B$35:$B$47,B154)/100*Assumptions!$B$2,IF(B154&lt;=Assumptions!$B$17,0,IF(B154&lt;=Assumptions!$B$17+Assumptions!$B$18,Assumptions!$B$19,Assumptions!$B$20)))/12</f>
      </c>
      <c r="I154" s="3">
        <f>IF(Assumptions!$B$12="Cash",0,IF(A154&lt;=Assumptions!$B$15,Monthly!$S$1,0))</f>
      </c>
      <c r="J154" s="3">
        <f>E154-F154-G154-H154-I154</f>
      </c>
      <c r="K154" s="3">
        <f>IF(AND(A154-CEILING(Assumptions!$E$27/30,1)&gt;=1,A154-CEILING(Assumptions!$E$27/30,1)&lt;=156),INDEX($E$2:$E$157,A154-CEILING(Assumptions!$E$27/30,1))*Assumptions!$B$27/100,0)</f>
      </c>
      <c r="L154" s="3">
        <f>IF(AND(A154-CEILING(Assumptions!$E$28/30,1)&gt;=1,A154-CEILING(Assumptions!$E$28/30,1)&lt;=156),INDEX($E$2:$E$157,A154-CEILING(Assumptions!$E$28/30,1))*Assumptions!$B$28/100,0)</f>
      </c>
      <c r="M154" s="3">
        <f>IF(AND(A154-CEILING(Assumptions!$E$29/30,1)&gt;=1,A154-CEILING(Assumptions!$E$29/30,1)&lt;=156),INDEX($E$2:$E$157,A154-CEILING(Assumptions!$E$29/30,1))*Assumptions!$B$29/100,0)</f>
      </c>
      <c r="N154" s="3">
        <f>IF(AND(A154-CEILING(Assumptions!$E$30/30,1)&gt;=1,A154-CEILING(Assumptions!$E$30/30,1)&lt;=156),INDEX($E$2:$E$157,A154-CEILING(Assumptions!$E$30/30,1))*Assumptions!$B$30/100,0)</f>
      </c>
      <c r="O154" s="3">
        <f>IF(AND(A154-CEILING(Assumptions!$E$31/30,1)&gt;=1,A154-CEILING(Assumptions!$E$31/30,1)&lt;=156),INDEX($E$2:$E$157,A154-CEILING(Assumptions!$E$31/30,1))*Assumptions!$B$31/100,0)</f>
      </c>
      <c r="P154" s="3">
        <f>K154+L154+M154+N154+O154</f>
      </c>
      <c r="Q154" s="2"/>
      <c r="R154" s="2"/>
      <c r="S154" s="2"/>
    </row>
    <row r="155" ht="19" customHeight="1" spans="1:19" x14ac:dyDescent="0.25">
      <c r="A155" s="4">
        <v>154</v>
      </c>
      <c r="B155" s="4">
        <v>13</v>
      </c>
      <c r="C155" s="3">
        <f>Assumptions!$B$5*Assumptions!$B$32*Assumptions!$B$6*D155</f>
      </c>
      <c r="D155" s="5">
        <f>IF(A155&lt;=3,Assumptions!$B$21,IF(A155&lt;=6,Assumptions!$B$22,IF(A155&lt;=12,Assumptions!$B$23,Assumptions!$B$24)))/100</f>
      </c>
      <c r="E155" s="3">
        <f>Assumptions!$B$5*Assumptions!$B$33*Assumptions!$B$6*D155</f>
      </c>
      <c r="F155" s="3">
        <f>Assumptions!$B$5*Assumptions!$B$7*Assumptions!$B$6*D155</f>
      </c>
      <c r="G155" s="3">
        <f>Assumptions!$B$8</f>
      </c>
      <c r="H155" s="3">
        <f>IF(INDEX(Assumptions!$B$35:$B$47,B155)&lt;&gt;"",INDEX(Assumptions!$B$35:$B$47,B155)/100*Assumptions!$B$2,IF(B155&lt;=Assumptions!$B$17,0,IF(B155&lt;=Assumptions!$B$17+Assumptions!$B$18,Assumptions!$B$19,Assumptions!$B$20)))/12</f>
      </c>
      <c r="I155" s="3">
        <f>IF(Assumptions!$B$12="Cash",0,IF(A155&lt;=Assumptions!$B$15,Monthly!$S$1,0))</f>
      </c>
      <c r="J155" s="3">
        <f>E155-F155-G155-H155-I155</f>
      </c>
      <c r="K155" s="3">
        <f>IF(AND(A155-CEILING(Assumptions!$E$27/30,1)&gt;=1,A155-CEILING(Assumptions!$E$27/30,1)&lt;=156),INDEX($E$2:$E$157,A155-CEILING(Assumptions!$E$27/30,1))*Assumptions!$B$27/100,0)</f>
      </c>
      <c r="L155" s="3">
        <f>IF(AND(A155-CEILING(Assumptions!$E$28/30,1)&gt;=1,A155-CEILING(Assumptions!$E$28/30,1)&lt;=156),INDEX($E$2:$E$157,A155-CEILING(Assumptions!$E$28/30,1))*Assumptions!$B$28/100,0)</f>
      </c>
      <c r="M155" s="3">
        <f>IF(AND(A155-CEILING(Assumptions!$E$29/30,1)&gt;=1,A155-CEILING(Assumptions!$E$29/30,1)&lt;=156),INDEX($E$2:$E$157,A155-CEILING(Assumptions!$E$29/30,1))*Assumptions!$B$29/100,0)</f>
      </c>
      <c r="N155" s="3">
        <f>IF(AND(A155-CEILING(Assumptions!$E$30/30,1)&gt;=1,A155-CEILING(Assumptions!$E$30/30,1)&lt;=156),INDEX($E$2:$E$157,A155-CEILING(Assumptions!$E$30/30,1))*Assumptions!$B$30/100,0)</f>
      </c>
      <c r="O155" s="3">
        <f>IF(AND(A155-CEILING(Assumptions!$E$31/30,1)&gt;=1,A155-CEILING(Assumptions!$E$31/30,1)&lt;=156),INDEX($E$2:$E$157,A155-CEILING(Assumptions!$E$31/30,1))*Assumptions!$B$31/100,0)</f>
      </c>
      <c r="P155" s="3">
        <f>K155+L155+M155+N155+O155</f>
      </c>
      <c r="Q155" s="2"/>
      <c r="R155" s="2"/>
      <c r="S155" s="2"/>
    </row>
    <row r="156" ht="19" customHeight="1" spans="1:19" x14ac:dyDescent="0.25">
      <c r="A156" s="4">
        <v>155</v>
      </c>
      <c r="B156" s="4">
        <v>13</v>
      </c>
      <c r="C156" s="3">
        <f>Assumptions!$B$5*Assumptions!$B$32*Assumptions!$B$6*D156</f>
      </c>
      <c r="D156" s="5">
        <f>IF(A156&lt;=3,Assumptions!$B$21,IF(A156&lt;=6,Assumptions!$B$22,IF(A156&lt;=12,Assumptions!$B$23,Assumptions!$B$24)))/100</f>
      </c>
      <c r="E156" s="3">
        <f>Assumptions!$B$5*Assumptions!$B$33*Assumptions!$B$6*D156</f>
      </c>
      <c r="F156" s="3">
        <f>Assumptions!$B$5*Assumptions!$B$7*Assumptions!$B$6*D156</f>
      </c>
      <c r="G156" s="3">
        <f>Assumptions!$B$8</f>
      </c>
      <c r="H156" s="3">
        <f>IF(INDEX(Assumptions!$B$35:$B$47,B156)&lt;&gt;"",INDEX(Assumptions!$B$35:$B$47,B156)/100*Assumptions!$B$2,IF(B156&lt;=Assumptions!$B$17,0,IF(B156&lt;=Assumptions!$B$17+Assumptions!$B$18,Assumptions!$B$19,Assumptions!$B$20)))/12</f>
      </c>
      <c r="I156" s="3">
        <f>IF(Assumptions!$B$12="Cash",0,IF(A156&lt;=Assumptions!$B$15,Monthly!$S$1,0))</f>
      </c>
      <c r="J156" s="3">
        <f>E156-F156-G156-H156-I156</f>
      </c>
      <c r="K156" s="3">
        <f>IF(AND(A156-CEILING(Assumptions!$E$27/30,1)&gt;=1,A156-CEILING(Assumptions!$E$27/30,1)&lt;=156),INDEX($E$2:$E$157,A156-CEILING(Assumptions!$E$27/30,1))*Assumptions!$B$27/100,0)</f>
      </c>
      <c r="L156" s="3">
        <f>IF(AND(A156-CEILING(Assumptions!$E$28/30,1)&gt;=1,A156-CEILING(Assumptions!$E$28/30,1)&lt;=156),INDEX($E$2:$E$157,A156-CEILING(Assumptions!$E$28/30,1))*Assumptions!$B$28/100,0)</f>
      </c>
      <c r="M156" s="3">
        <f>IF(AND(A156-CEILING(Assumptions!$E$29/30,1)&gt;=1,A156-CEILING(Assumptions!$E$29/30,1)&lt;=156),INDEX($E$2:$E$157,A156-CEILING(Assumptions!$E$29/30,1))*Assumptions!$B$29/100,0)</f>
      </c>
      <c r="N156" s="3">
        <f>IF(AND(A156-CEILING(Assumptions!$E$30/30,1)&gt;=1,A156-CEILING(Assumptions!$E$30/30,1)&lt;=156),INDEX($E$2:$E$157,A156-CEILING(Assumptions!$E$30/30,1))*Assumptions!$B$30/100,0)</f>
      </c>
      <c r="O156" s="3">
        <f>IF(AND(A156-CEILING(Assumptions!$E$31/30,1)&gt;=1,A156-CEILING(Assumptions!$E$31/30,1)&lt;=156),INDEX($E$2:$E$157,A156-CEILING(Assumptions!$E$31/30,1))*Assumptions!$B$31/100,0)</f>
      </c>
      <c r="P156" s="3">
        <f>K156+L156+M156+N156+O156</f>
      </c>
      <c r="Q156" s="2"/>
      <c r="R156" s="2"/>
      <c r="S156" s="2"/>
    </row>
    <row r="157" ht="19" customHeight="1" spans="1:19" x14ac:dyDescent="0.25">
      <c r="A157" s="4">
        <v>156</v>
      </c>
      <c r="B157" s="4">
        <v>13</v>
      </c>
      <c r="C157" s="3">
        <f>Assumptions!$B$5*Assumptions!$B$32*Assumptions!$B$6*D157</f>
      </c>
      <c r="D157" s="5">
        <f>IF(A157&lt;=3,Assumptions!$B$21,IF(A157&lt;=6,Assumptions!$B$22,IF(A157&lt;=12,Assumptions!$B$23,Assumptions!$B$24)))/100</f>
      </c>
      <c r="E157" s="3">
        <f>Assumptions!$B$5*Assumptions!$B$33*Assumptions!$B$6*D157</f>
      </c>
      <c r="F157" s="3">
        <f>Assumptions!$B$5*Assumptions!$B$7*Assumptions!$B$6*D157</f>
      </c>
      <c r="G157" s="3">
        <f>Assumptions!$B$8</f>
      </c>
      <c r="H157" s="3">
        <f>IF(INDEX(Assumptions!$B$35:$B$47,B157)&lt;&gt;"",INDEX(Assumptions!$B$35:$B$47,B157)/100*Assumptions!$B$2,IF(B157&lt;=Assumptions!$B$17,0,IF(B157&lt;=Assumptions!$B$17+Assumptions!$B$18,Assumptions!$B$19,Assumptions!$B$20)))/12</f>
      </c>
      <c r="I157" s="3">
        <f>IF(Assumptions!$B$12="Cash",0,IF(A157&lt;=Assumptions!$B$15,Monthly!$S$1,0))</f>
      </c>
      <c r="J157" s="3">
        <f>E157-F157-G157-H157-I157</f>
      </c>
      <c r="K157" s="3">
        <f>IF(AND(A157-CEILING(Assumptions!$E$27/30,1)&gt;=1,A157-CEILING(Assumptions!$E$27/30,1)&lt;=156),INDEX($E$2:$E$157,A157-CEILING(Assumptions!$E$27/30,1))*Assumptions!$B$27/100,0)</f>
      </c>
      <c r="L157" s="3">
        <f>IF(AND(A157-CEILING(Assumptions!$E$28/30,1)&gt;=1,A157-CEILING(Assumptions!$E$28/30,1)&lt;=156),INDEX($E$2:$E$157,A157-CEILING(Assumptions!$E$28/30,1))*Assumptions!$B$28/100,0)</f>
      </c>
      <c r="M157" s="3">
        <f>IF(AND(A157-CEILING(Assumptions!$E$29/30,1)&gt;=1,A157-CEILING(Assumptions!$E$29/30,1)&lt;=156),INDEX($E$2:$E$157,A157-CEILING(Assumptions!$E$29/30,1))*Assumptions!$B$29/100,0)</f>
      </c>
      <c r="N157" s="3">
        <f>IF(AND(A157-CEILING(Assumptions!$E$30/30,1)&gt;=1,A157-CEILING(Assumptions!$E$30/30,1)&lt;=156),INDEX($E$2:$E$157,A157-CEILING(Assumptions!$E$30/30,1))*Assumptions!$B$30/100,0)</f>
      </c>
      <c r="O157" s="3">
        <f>IF(AND(A157-CEILING(Assumptions!$E$31/30,1)&gt;=1,A157-CEILING(Assumptions!$E$31/30,1)&lt;=156),INDEX($E$2:$E$157,A157-CEILING(Assumptions!$E$31/30,1))*Assumptions!$B$31/100,0)</f>
      </c>
      <c r="P157" s="3">
        <f>K157+L157+M157+N157+O157</f>
      </c>
      <c r="Q157" s="2"/>
      <c r="R157" s="2"/>
      <c r="S157" s="2"/>
    </row>
    <row r="158" ht="19" customHeight="1" spans="1:19" x14ac:dyDescent="0.25">
      <c r="A158" s="4">
        <v>157</v>
      </c>
      <c r="B158" s="4"/>
      <c r="C158" s="3"/>
      <c r="D158" s="5"/>
      <c r="E158" s="3"/>
      <c r="F158" s="3"/>
      <c r="G158" s="3"/>
      <c r="H158" s="3"/>
      <c r="I158" s="3"/>
      <c r="J158" s="3"/>
      <c r="K158" s="3">
        <f>IF(AND(A158-CEILING(Assumptions!$E$27/30,1)&gt;=1,A158-CEILING(Assumptions!$E$27/30,1)&lt;=156),INDEX($E$2:$E$157,A158-CEILING(Assumptions!$E$27/30,1))*Assumptions!$B$27/100,0)</f>
      </c>
      <c r="L158" s="3">
        <f>IF(AND(A158-CEILING(Assumptions!$E$28/30,1)&gt;=1,A158-CEILING(Assumptions!$E$28/30,1)&lt;=156),INDEX($E$2:$E$157,A158-CEILING(Assumptions!$E$28/30,1))*Assumptions!$B$28/100,0)</f>
      </c>
      <c r="M158" s="3">
        <f>IF(AND(A158-CEILING(Assumptions!$E$29/30,1)&gt;=1,A158-CEILING(Assumptions!$E$29/30,1)&lt;=156),INDEX($E$2:$E$157,A158-CEILING(Assumptions!$E$29/30,1))*Assumptions!$B$29/100,0)</f>
      </c>
      <c r="N158" s="3">
        <f>IF(AND(A158-CEILING(Assumptions!$E$30/30,1)&gt;=1,A158-CEILING(Assumptions!$E$30/30,1)&lt;=156),INDEX($E$2:$E$157,A158-CEILING(Assumptions!$E$30/30,1))*Assumptions!$B$30/100,0)</f>
      </c>
      <c r="O158" s="3">
        <f>IF(AND(A158-CEILING(Assumptions!$E$31/30,1)&gt;=1,A158-CEILING(Assumptions!$E$31/30,1)&lt;=156),INDEX($E$2:$E$157,A158-CEILING(Assumptions!$E$31/30,1))*Assumptions!$B$31/100,0)</f>
      </c>
      <c r="P158" s="3">
        <f>K158+L158+M158+N158+O158</f>
      </c>
      <c r="Q158" s="2"/>
      <c r="R158" s="2"/>
      <c r="S158" s="2"/>
    </row>
    <row r="159" ht="19" customHeight="1" spans="1:19" x14ac:dyDescent="0.25">
      <c r="A159" s="4">
        <v>158</v>
      </c>
      <c r="B159" s="4"/>
      <c r="C159" s="3"/>
      <c r="D159" s="5"/>
      <c r="E159" s="3"/>
      <c r="F159" s="3"/>
      <c r="G159" s="3"/>
      <c r="H159" s="3"/>
      <c r="I159" s="3"/>
      <c r="J159" s="3"/>
      <c r="K159" s="3">
        <f>IF(AND(A159-CEILING(Assumptions!$E$27/30,1)&gt;=1,A159-CEILING(Assumptions!$E$27/30,1)&lt;=156),INDEX($E$2:$E$157,A159-CEILING(Assumptions!$E$27/30,1))*Assumptions!$B$27/100,0)</f>
      </c>
      <c r="L159" s="3">
        <f>IF(AND(A159-CEILING(Assumptions!$E$28/30,1)&gt;=1,A159-CEILING(Assumptions!$E$28/30,1)&lt;=156),INDEX($E$2:$E$157,A159-CEILING(Assumptions!$E$28/30,1))*Assumptions!$B$28/100,0)</f>
      </c>
      <c r="M159" s="3">
        <f>IF(AND(A159-CEILING(Assumptions!$E$29/30,1)&gt;=1,A159-CEILING(Assumptions!$E$29/30,1)&lt;=156),INDEX($E$2:$E$157,A159-CEILING(Assumptions!$E$29/30,1))*Assumptions!$B$29/100,0)</f>
      </c>
      <c r="N159" s="3">
        <f>IF(AND(A159-CEILING(Assumptions!$E$30/30,1)&gt;=1,A159-CEILING(Assumptions!$E$30/30,1)&lt;=156),INDEX($E$2:$E$157,A159-CEILING(Assumptions!$E$30/30,1))*Assumptions!$B$30/100,0)</f>
      </c>
      <c r="O159" s="3">
        <f>IF(AND(A159-CEILING(Assumptions!$E$31/30,1)&gt;=1,A159-CEILING(Assumptions!$E$31/30,1)&lt;=156),INDEX($E$2:$E$157,A159-CEILING(Assumptions!$E$31/30,1))*Assumptions!$B$31/100,0)</f>
      </c>
      <c r="P159" s="3">
        <f>K159+L159+M159+N159+O159</f>
      </c>
      <c r="Q159" s="2"/>
      <c r="R159" s="2"/>
      <c r="S159" s="2"/>
    </row>
  </sheetData>
  <autoFilter ref="A1:P159"/>
  <pageMargins left="0.25" right="0.25" top="0.5" bottom="0.5" header="0.2" footer="0.2"/>
  <pageSetup orientation="landscape" horizontalDpi="4294967295" verticalDpi="4294967295" scale="100" fitToWidth="1" fitToHeight="0"/>
  <headerFooter>
    <oddFooter>CapexIQ  • 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7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7" width="24" customWidth="1"/>
    <col min="8" max="8" width="9" hidden="1" customWidth="1"/>
    <col min="9" max="9" width="9" hidden="1" customWidth="1"/>
    <col min="10" max="10" width="9" hidden="1" customWidth="1"/>
    <col min="11" max="11" width="9" hidden="1" customWidth="1"/>
    <col min="12" max="12" width="9" hidden="1" customWidth="1"/>
    <col min="13" max="13" width="9" hidden="1" customWidth="1"/>
    <col min="14" max="14" width="9" hidden="1" customWidth="1"/>
    <col min="15" max="15" width="9" hidden="1" customWidth="1"/>
    <col min="16" max="16" width="9" hidden="1" customWidth="1"/>
    <col min="17" max="17" width="9" hidden="1" customWidth="1"/>
    <col min="18" max="18" width="9" hidden="1" customWidth="1"/>
    <col min="19" max="19" width="9" hidden="1" customWidth="1"/>
    <col min="20" max="20" width="9" hidden="1" customWidth="1"/>
    <col min="21" max="21" width="9" hidden="1" customWidth="1"/>
  </cols>
  <sheetData>
    <row r="1" ht="34" customHeight="1" spans="1:21" x14ac:dyDescent="0.25">
      <c r="A1" s="8" t="s">
        <v>69</v>
      </c>
      <c r="B1" s="8" t="s">
        <v>54</v>
      </c>
      <c r="C1" s="8" t="s">
        <v>56</v>
      </c>
      <c r="D1" s="8" t="s">
        <v>70</v>
      </c>
      <c r="E1" s="8" t="s">
        <v>60</v>
      </c>
      <c r="F1" s="8" t="s">
        <v>61</v>
      </c>
      <c r="G1" s="8" t="s">
        <v>71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19" customHeight="1" spans="1:21" x14ac:dyDescent="0.25">
      <c r="A2" s="4">
        <v>1</v>
      </c>
      <c r="B2" s="3">
        <f>SUM(Monthly!$C$2:$C$13)</f>
      </c>
      <c r="C2" s="3">
        <f>SUM(Monthly!$E$2:$E$13)</f>
      </c>
      <c r="D2" s="3">
        <f>SUM(Monthly!$F$2:$F$13)+SUM(Monthly!$G$2:$G$13)+SUM(Monthly!$H$2:$H$13)</f>
      </c>
      <c r="E2" s="3">
        <f>SUM(Monthly!$I$2:$I$13)</f>
      </c>
      <c r="F2" s="3">
        <f>SUM(Monthly!$J$2:$J$13)</f>
      </c>
      <c r="G2" s="3">
        <f>F2-Assumptions!$B$4</f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ht="19" customHeight="1" spans="1:21" x14ac:dyDescent="0.25">
      <c r="A3" s="4">
        <v>2</v>
      </c>
      <c r="B3" s="3">
        <f>SUM(Monthly!$C$14:$C$25)</f>
      </c>
      <c r="C3" s="3">
        <f>SUM(Monthly!$E$14:$E$25)</f>
      </c>
      <c r="D3" s="3">
        <f>SUM(Monthly!$F$14:$F$25)+SUM(Monthly!$G$14:$G$25)+SUM(Monthly!$H$14:$H$25)</f>
      </c>
      <c r="E3" s="3">
        <f>SUM(Monthly!$I$14:$I$25)</f>
      </c>
      <c r="F3" s="3">
        <f>SUM(Monthly!$J$14:$J$25)</f>
      </c>
      <c r="G3" s="3">
        <f>G2+F3</f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ht="19" customHeight="1" spans="1:21" x14ac:dyDescent="0.25">
      <c r="A4" s="4">
        <v>3</v>
      </c>
      <c r="B4" s="3">
        <f>SUM(Monthly!$C$26:$C$37)</f>
      </c>
      <c r="C4" s="3">
        <f>SUM(Monthly!$E$26:$E$37)</f>
      </c>
      <c r="D4" s="3">
        <f>SUM(Monthly!$F$26:$F$37)+SUM(Monthly!$G$26:$G$37)+SUM(Monthly!$H$26:$H$37)</f>
      </c>
      <c r="E4" s="3">
        <f>SUM(Monthly!$I$26:$I$37)</f>
      </c>
      <c r="F4" s="3">
        <f>SUM(Monthly!$J$26:$J$37)</f>
      </c>
      <c r="G4" s="3">
        <f>G3+F4</f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ht="19" customHeight="1" spans="1:21" x14ac:dyDescent="0.25">
      <c r="A5" s="4">
        <v>4</v>
      </c>
      <c r="B5" s="3">
        <f>SUM(Monthly!$C$38:$C$49)</f>
      </c>
      <c r="C5" s="3">
        <f>SUM(Monthly!$E$38:$E$49)</f>
      </c>
      <c r="D5" s="3">
        <f>SUM(Monthly!$F$38:$F$49)+SUM(Monthly!$G$38:$G$49)+SUM(Monthly!$H$38:$H$49)</f>
      </c>
      <c r="E5" s="3">
        <f>SUM(Monthly!$I$38:$I$49)</f>
      </c>
      <c r="F5" s="3">
        <f>SUM(Monthly!$J$38:$J$49)</f>
      </c>
      <c r="G5" s="3">
        <f>G4+F5</f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ht="19" customHeight="1" spans="1:21" x14ac:dyDescent="0.25">
      <c r="A6" s="4">
        <v>5</v>
      </c>
      <c r="B6" s="3">
        <f>SUM(Monthly!$C$50:$C$61)</f>
      </c>
      <c r="C6" s="3">
        <f>SUM(Monthly!$E$50:$E$61)</f>
      </c>
      <c r="D6" s="3">
        <f>SUM(Monthly!$F$50:$F$61)+SUM(Monthly!$G$50:$G$61)+SUM(Monthly!$H$50:$H$61)</f>
      </c>
      <c r="E6" s="3">
        <f>SUM(Monthly!$I$50:$I$61)</f>
      </c>
      <c r="F6" s="3">
        <f>SUM(Monthly!$J$50:$J$61)</f>
      </c>
      <c r="G6" s="3">
        <f>G5+F6</f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ht="19" customHeight="1" spans="1:21" x14ac:dyDescent="0.25">
      <c r="A7" s="4">
        <v>6</v>
      </c>
      <c r="B7" s="3">
        <f>SUM(Monthly!$C$62:$C$73)</f>
      </c>
      <c r="C7" s="3">
        <f>SUM(Monthly!$E$62:$E$73)</f>
      </c>
      <c r="D7" s="3">
        <f>SUM(Monthly!$F$62:$F$73)+SUM(Monthly!$G$62:$G$73)+SUM(Monthly!$H$62:$H$73)</f>
      </c>
      <c r="E7" s="3">
        <f>SUM(Monthly!$I$62:$I$73)</f>
      </c>
      <c r="F7" s="3">
        <f>SUM(Monthly!$J$62:$J$73)</f>
      </c>
      <c r="G7" s="3">
        <f>G6+F7</f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ht="19" customHeight="1" spans="1:21" x14ac:dyDescent="0.25">
      <c r="A8" s="4">
        <v>7</v>
      </c>
      <c r="B8" s="3">
        <f>SUM(Monthly!$C$74:$C$85)</f>
      </c>
      <c r="C8" s="3">
        <f>SUM(Monthly!$E$74:$E$85)</f>
      </c>
      <c r="D8" s="3">
        <f>SUM(Monthly!$F$74:$F$85)+SUM(Monthly!$G$74:$G$85)+SUM(Monthly!$H$74:$H$85)</f>
      </c>
      <c r="E8" s="3">
        <f>SUM(Monthly!$I$74:$I$85)</f>
      </c>
      <c r="F8" s="3">
        <f>SUM(Monthly!$J$74:$J$85)</f>
      </c>
      <c r="G8" s="3">
        <f>G7+F8</f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ht="19" customHeight="1" spans="1:21" x14ac:dyDescent="0.25">
      <c r="A9" s="4">
        <v>8</v>
      </c>
      <c r="B9" s="3">
        <f>SUM(Monthly!$C$86:$C$97)</f>
      </c>
      <c r="C9" s="3">
        <f>SUM(Monthly!$E$86:$E$97)</f>
      </c>
      <c r="D9" s="3">
        <f>SUM(Monthly!$F$86:$F$97)+SUM(Monthly!$G$86:$G$97)+SUM(Monthly!$H$86:$H$97)</f>
      </c>
      <c r="E9" s="3">
        <f>SUM(Monthly!$I$86:$I$97)</f>
      </c>
      <c r="F9" s="3">
        <f>SUM(Monthly!$J$86:$J$97)</f>
      </c>
      <c r="G9" s="3">
        <f>G8+F9</f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ht="19" customHeight="1" spans="1:21" x14ac:dyDescent="0.25">
      <c r="A10" s="4">
        <v>9</v>
      </c>
      <c r="B10" s="3">
        <f>SUM(Monthly!$C$98:$C$109)</f>
      </c>
      <c r="C10" s="3">
        <f>SUM(Monthly!$E$98:$E$109)</f>
      </c>
      <c r="D10" s="3">
        <f>SUM(Monthly!$F$98:$F$109)+SUM(Monthly!$G$98:$G$109)+SUM(Monthly!$H$98:$H$109)</f>
      </c>
      <c r="E10" s="3">
        <f>SUM(Monthly!$I$98:$I$109)</f>
      </c>
      <c r="F10" s="3">
        <f>SUM(Monthly!$J$98:$J$109)</f>
      </c>
      <c r="G10" s="3">
        <f>G9+F10</f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ht="19" customHeight="1" spans="1:21" x14ac:dyDescent="0.25">
      <c r="A11" s="4">
        <v>10</v>
      </c>
      <c r="B11" s="3">
        <f>SUM(Monthly!$C$110:$C$121)</f>
      </c>
      <c r="C11" s="3">
        <f>SUM(Monthly!$E$110:$E$121)</f>
      </c>
      <c r="D11" s="3">
        <f>SUM(Monthly!$F$110:$F$121)+SUM(Monthly!$G$110:$G$121)+SUM(Monthly!$H$110:$H$121)</f>
      </c>
      <c r="E11" s="3">
        <f>SUM(Monthly!$I$110:$I$121)</f>
      </c>
      <c r="F11" s="3">
        <f>SUM(Monthly!$J$110:$J$121)</f>
      </c>
      <c r="G11" s="3">
        <f>G10+F11</f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ht="19" customHeight="1" spans="1:21" x14ac:dyDescent="0.25">
      <c r="A12" s="4">
        <v>11</v>
      </c>
      <c r="B12" s="3">
        <f>SUM(Monthly!$C$122:$C$133)</f>
      </c>
      <c r="C12" s="3">
        <f>SUM(Monthly!$E$122:$E$133)</f>
      </c>
      <c r="D12" s="3">
        <f>SUM(Monthly!$F$122:$F$133)+SUM(Monthly!$G$122:$G$133)+SUM(Monthly!$H$122:$H$133)</f>
      </c>
      <c r="E12" s="3">
        <f>SUM(Monthly!$I$122:$I$133)</f>
      </c>
      <c r="F12" s="3">
        <f>SUM(Monthly!$J$122:$J$133)</f>
      </c>
      <c r="G12" s="3">
        <f>G11+F12</f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ht="19" customHeight="1" spans="1:21" x14ac:dyDescent="0.25">
      <c r="A13" s="4">
        <v>12</v>
      </c>
      <c r="B13" s="3">
        <f>SUM(Monthly!$C$134:$C$145)</f>
      </c>
      <c r="C13" s="3">
        <f>SUM(Monthly!$E$134:$E$145)</f>
      </c>
      <c r="D13" s="3">
        <f>SUM(Monthly!$F$134:$F$145)+SUM(Monthly!$G$134:$G$145)+SUM(Monthly!$H$134:$H$145)</f>
      </c>
      <c r="E13" s="3">
        <f>SUM(Monthly!$I$134:$I$145)</f>
      </c>
      <c r="F13" s="3">
        <f>SUM(Monthly!$J$134:$J$145)</f>
      </c>
      <c r="G13" s="3">
        <f>G12+F13</f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ht="19" customHeight="1" spans="1:21" x14ac:dyDescent="0.25">
      <c r="A14" s="4">
        <v>13</v>
      </c>
      <c r="B14" s="3">
        <f>SUM(Monthly!$C$146:$C$157)</f>
      </c>
      <c r="C14" s="3">
        <f>SUM(Monthly!$E$146:$E$157)</f>
      </c>
      <c r="D14" s="3">
        <f>SUM(Monthly!$F$146:$F$157)+SUM(Monthly!$G$146:$G$157)+SUM(Monthly!$H$146:$H$157)</f>
      </c>
      <c r="E14" s="3">
        <f>SUM(Monthly!$I$146:$I$157)</f>
      </c>
      <c r="F14" s="3">
        <f>SUM(Monthly!$J$146:$J$157)</f>
      </c>
      <c r="G14" s="3">
        <f>G13+F14</f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ht="19" customHeight="1" spans="1:21" x14ac:dyDescent="0.25">
      <c r="A15" s="4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ht="19" customHeight="1" spans="1:21" x14ac:dyDescent="0.25">
      <c r="A16" s="4" t="s">
        <v>72</v>
      </c>
      <c r="B16" s="3">
        <f>NPV(Assumptions!$B$10/100,F2:F14)-Assumptions!$B$4</f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ht="19" customHeight="1" spans="1:21" x14ac:dyDescent="0.25">
      <c r="A17" s="4" t="s">
        <v>73</v>
      </c>
      <c r="B17" s="5">
        <f>IRR($H$17:$U$17)</f>
      </c>
      <c r="C17" s="3"/>
      <c r="D17" s="3"/>
      <c r="E17" s="3"/>
      <c r="F17" s="3"/>
      <c r="G17" s="3"/>
      <c r="H17" s="3">
        <f>-Assumptions!$B$4</f>
      </c>
      <c r="I17" s="3">
        <f>F2</f>
      </c>
      <c r="J17" s="3">
        <f>F3</f>
      </c>
      <c r="K17" s="3">
        <f>F4</f>
      </c>
      <c r="L17" s="3">
        <f>F5</f>
      </c>
      <c r="M17" s="3">
        <f>F6</f>
      </c>
      <c r="N17" s="3">
        <f>F7</f>
      </c>
      <c r="O17" s="3">
        <f>F8</f>
      </c>
      <c r="P17" s="3">
        <f>F9</f>
      </c>
      <c r="Q17" s="3">
        <f>F10</f>
      </c>
      <c r="R17" s="3">
        <f>F11</f>
      </c>
      <c r="S17" s="3">
        <f>F12</f>
      </c>
      <c r="T17" s="3">
        <f>F13</f>
      </c>
      <c r="U17" s="3">
        <f>F14</f>
      </c>
    </row>
  </sheetData>
  <autoFilter ref="A1:G15"/>
  <pageMargins left="0.25" right="0.25" top="0.5" bottom="0.5" header="0.2" footer="0.2"/>
  <pageSetup orientation="landscape" horizontalDpi="4294967295" verticalDpi="4294967295" scale="100" fitToWidth="1" fitToHeight="0"/>
  <headerFooter>
    <oddFooter>CapexIQ  • 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32" customWidth="1"/>
  </cols>
  <sheetData>
    <row r="1" ht="34" customHeight="1" spans="1:2" x14ac:dyDescent="0.25">
      <c r="A1" s="8" t="s">
        <v>74</v>
      </c>
      <c r="B1" s="9">
        <f>Assumptions!$B$33-Assumptions!$B$7</f>
      </c>
    </row>
    <row r="2" ht="19" customHeight="1" spans="1:2" x14ac:dyDescent="0.25">
      <c r="A2" s="2" t="s">
        <v>75</v>
      </c>
      <c r="B2" s="10">
        <f>Assumptions!$B$5</f>
      </c>
    </row>
    <row r="3" ht="19" customHeight="1" spans="1:2" x14ac:dyDescent="0.25">
      <c r="A3" s="2" t="s">
        <v>76</v>
      </c>
      <c r="B3" s="10">
        <f>IF($B$1&lt;=0,"Undefined — contribution margin is zero or negative",Assumptions!$B$8/$B$1/Assumptions!$B$6)</f>
      </c>
    </row>
    <row r="4" ht="19" customHeight="1" spans="1:2" x14ac:dyDescent="0.25">
      <c r="A4" s="2" t="s">
        <v>77</v>
      </c>
      <c r="B4" s="2">
        <f>IF(ISNUMBER($B$3),$B$2&gt;=$B$3,"N/A")</f>
      </c>
    </row>
  </sheetData>
  <pageMargins left="0.25" right="0.25" top="0.5" bottom="0.5" header="0.2" footer="0.2"/>
  <pageSetup orientation="portrait" horizontalDpi="4294967295" verticalDpi="4294967295" scale="100" fitToWidth="1" fitToHeight="0"/>
  <headerFooter>
    <oddFooter>CapexIQ  • 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22" customWidth="1"/>
  </cols>
  <sheetData>
    <row r="1" ht="34" customHeight="1" spans="1:3" x14ac:dyDescent="0.25">
      <c r="A1" s="8" t="s">
        <v>69</v>
      </c>
      <c r="B1" s="8" t="s">
        <v>78</v>
      </c>
      <c r="C1" s="8" t="s">
        <v>79</v>
      </c>
    </row>
    <row r="2" ht="19" customHeight="1" spans="1:3" x14ac:dyDescent="0.25">
      <c r="A2" s="4">
        <v>1</v>
      </c>
      <c r="B2" s="2">
        <f>IF(Assumptions!$B$35&lt;&gt;"","Override",IF(1&lt;=Assumptions!$B$17,"Warranty",IF(1&lt;=Assumptions!$B$17+Assumptions!$B$18,"CMC","AMC")))</f>
      </c>
      <c r="C2" s="3">
        <f>IF(Assumptions!$B$35&lt;&gt;"",Assumptions!$B$35/100*Assumptions!$B$2,IF(1&lt;=Assumptions!$B$17,0,IF(1&lt;=Assumptions!$B$17+Assumptions!$B$18,Assumptions!$B$19,Assumptions!$B$20)))</f>
      </c>
    </row>
    <row r="3" ht="19" customHeight="1" spans="1:3" x14ac:dyDescent="0.25">
      <c r="A3" s="4">
        <v>2</v>
      </c>
      <c r="B3" s="2">
        <f>IF(Assumptions!$B$36&lt;&gt;"","Override",IF(2&lt;=Assumptions!$B$17,"Warranty",IF(2&lt;=Assumptions!$B$17+Assumptions!$B$18,"CMC","AMC")))</f>
      </c>
      <c r="C3" s="3">
        <f>IF(Assumptions!$B$36&lt;&gt;"",Assumptions!$B$36/100*Assumptions!$B$2,IF(2&lt;=Assumptions!$B$17,0,IF(2&lt;=Assumptions!$B$17+Assumptions!$B$18,Assumptions!$B$19,Assumptions!$B$20)))</f>
      </c>
    </row>
    <row r="4" ht="19" customHeight="1" spans="1:3" x14ac:dyDescent="0.25">
      <c r="A4" s="4">
        <v>3</v>
      </c>
      <c r="B4" s="2">
        <f>IF(Assumptions!$B$37&lt;&gt;"","Override",IF(3&lt;=Assumptions!$B$17,"Warranty",IF(3&lt;=Assumptions!$B$17+Assumptions!$B$18,"CMC","AMC")))</f>
      </c>
      <c r="C4" s="3">
        <f>IF(Assumptions!$B$37&lt;&gt;"",Assumptions!$B$37/100*Assumptions!$B$2,IF(3&lt;=Assumptions!$B$17,0,IF(3&lt;=Assumptions!$B$17+Assumptions!$B$18,Assumptions!$B$19,Assumptions!$B$20)))</f>
      </c>
    </row>
    <row r="5" ht="19" customHeight="1" spans="1:3" x14ac:dyDescent="0.25">
      <c r="A5" s="4">
        <v>4</v>
      </c>
      <c r="B5" s="2">
        <f>IF(Assumptions!$B$38&lt;&gt;"","Override",IF(4&lt;=Assumptions!$B$17,"Warranty",IF(4&lt;=Assumptions!$B$17+Assumptions!$B$18,"CMC","AMC")))</f>
      </c>
      <c r="C5" s="3">
        <f>IF(Assumptions!$B$38&lt;&gt;"",Assumptions!$B$38/100*Assumptions!$B$2,IF(4&lt;=Assumptions!$B$17,0,IF(4&lt;=Assumptions!$B$17+Assumptions!$B$18,Assumptions!$B$19,Assumptions!$B$20)))</f>
      </c>
    </row>
    <row r="6" ht="19" customHeight="1" spans="1:3" x14ac:dyDescent="0.25">
      <c r="A6" s="4">
        <v>5</v>
      </c>
      <c r="B6" s="2">
        <f>IF(Assumptions!$B$39&lt;&gt;"","Override",IF(5&lt;=Assumptions!$B$17,"Warranty",IF(5&lt;=Assumptions!$B$17+Assumptions!$B$18,"CMC","AMC")))</f>
      </c>
      <c r="C6" s="3">
        <f>IF(Assumptions!$B$39&lt;&gt;"",Assumptions!$B$39/100*Assumptions!$B$2,IF(5&lt;=Assumptions!$B$17,0,IF(5&lt;=Assumptions!$B$17+Assumptions!$B$18,Assumptions!$B$19,Assumptions!$B$20)))</f>
      </c>
    </row>
    <row r="7" ht="19" customHeight="1" spans="1:3" x14ac:dyDescent="0.25">
      <c r="A7" s="4">
        <v>6</v>
      </c>
      <c r="B7" s="2">
        <f>IF(Assumptions!$B$40&lt;&gt;"","Override",IF(6&lt;=Assumptions!$B$17,"Warranty",IF(6&lt;=Assumptions!$B$17+Assumptions!$B$18,"CMC","AMC")))</f>
      </c>
      <c r="C7" s="3">
        <f>IF(Assumptions!$B$40&lt;&gt;"",Assumptions!$B$40/100*Assumptions!$B$2,IF(6&lt;=Assumptions!$B$17,0,IF(6&lt;=Assumptions!$B$17+Assumptions!$B$18,Assumptions!$B$19,Assumptions!$B$20)))</f>
      </c>
    </row>
    <row r="8" ht="19" customHeight="1" spans="1:3" x14ac:dyDescent="0.25">
      <c r="A8" s="4">
        <v>7</v>
      </c>
      <c r="B8" s="2">
        <f>IF(Assumptions!$B$41&lt;&gt;"","Override",IF(7&lt;=Assumptions!$B$17,"Warranty",IF(7&lt;=Assumptions!$B$17+Assumptions!$B$18,"CMC","AMC")))</f>
      </c>
      <c r="C8" s="3">
        <f>IF(Assumptions!$B$41&lt;&gt;"",Assumptions!$B$41/100*Assumptions!$B$2,IF(7&lt;=Assumptions!$B$17,0,IF(7&lt;=Assumptions!$B$17+Assumptions!$B$18,Assumptions!$B$19,Assumptions!$B$20)))</f>
      </c>
    </row>
    <row r="9" ht="19" customHeight="1" spans="1:3" x14ac:dyDescent="0.25">
      <c r="A9" s="4">
        <v>8</v>
      </c>
      <c r="B9" s="2">
        <f>IF(Assumptions!$B$42&lt;&gt;"","Override",IF(8&lt;=Assumptions!$B$17,"Warranty",IF(8&lt;=Assumptions!$B$17+Assumptions!$B$18,"CMC","AMC")))</f>
      </c>
      <c r="C9" s="3">
        <f>IF(Assumptions!$B$42&lt;&gt;"",Assumptions!$B$42/100*Assumptions!$B$2,IF(8&lt;=Assumptions!$B$17,0,IF(8&lt;=Assumptions!$B$17+Assumptions!$B$18,Assumptions!$B$19,Assumptions!$B$20)))</f>
      </c>
    </row>
    <row r="10" ht="19" customHeight="1" spans="1:3" x14ac:dyDescent="0.25">
      <c r="A10" s="4">
        <v>9</v>
      </c>
      <c r="B10" s="2">
        <f>IF(Assumptions!$B$43&lt;&gt;"","Override",IF(9&lt;=Assumptions!$B$17,"Warranty",IF(9&lt;=Assumptions!$B$17+Assumptions!$B$18,"CMC","AMC")))</f>
      </c>
      <c r="C10" s="3">
        <f>IF(Assumptions!$B$43&lt;&gt;"",Assumptions!$B$43/100*Assumptions!$B$2,IF(9&lt;=Assumptions!$B$17,0,IF(9&lt;=Assumptions!$B$17+Assumptions!$B$18,Assumptions!$B$19,Assumptions!$B$20)))</f>
      </c>
    </row>
    <row r="11" ht="19" customHeight="1" spans="1:3" x14ac:dyDescent="0.25">
      <c r="A11" s="4">
        <v>10</v>
      </c>
      <c r="B11" s="2">
        <f>IF(Assumptions!$B$44&lt;&gt;"","Override",IF(10&lt;=Assumptions!$B$17,"Warranty",IF(10&lt;=Assumptions!$B$17+Assumptions!$B$18,"CMC","AMC")))</f>
      </c>
      <c r="C11" s="3">
        <f>IF(Assumptions!$B$44&lt;&gt;"",Assumptions!$B$44/100*Assumptions!$B$2,IF(10&lt;=Assumptions!$B$17,0,IF(10&lt;=Assumptions!$B$17+Assumptions!$B$18,Assumptions!$B$19,Assumptions!$B$20)))</f>
      </c>
    </row>
    <row r="12" ht="19" customHeight="1" spans="1:3" x14ac:dyDescent="0.25">
      <c r="A12" s="4">
        <v>11</v>
      </c>
      <c r="B12" s="2">
        <f>IF(Assumptions!$B$45&lt;&gt;"","Override",IF(11&lt;=Assumptions!$B$17,"Warranty",IF(11&lt;=Assumptions!$B$17+Assumptions!$B$18,"CMC","AMC")))</f>
      </c>
      <c r="C12" s="3">
        <f>IF(Assumptions!$B$45&lt;&gt;"",Assumptions!$B$45/100*Assumptions!$B$2,IF(11&lt;=Assumptions!$B$17,0,IF(11&lt;=Assumptions!$B$17+Assumptions!$B$18,Assumptions!$B$19,Assumptions!$B$20)))</f>
      </c>
    </row>
    <row r="13" ht="19" customHeight="1" spans="1:3" x14ac:dyDescent="0.25">
      <c r="A13" s="4">
        <v>12</v>
      </c>
      <c r="B13" s="2">
        <f>IF(Assumptions!$B$46&lt;&gt;"","Override",IF(12&lt;=Assumptions!$B$17,"Warranty",IF(12&lt;=Assumptions!$B$17+Assumptions!$B$18,"CMC","AMC")))</f>
      </c>
      <c r="C13" s="3">
        <f>IF(Assumptions!$B$46&lt;&gt;"",Assumptions!$B$46/100*Assumptions!$B$2,IF(12&lt;=Assumptions!$B$17,0,IF(12&lt;=Assumptions!$B$17+Assumptions!$B$18,Assumptions!$B$19,Assumptions!$B$20)))</f>
      </c>
    </row>
    <row r="14" ht="19" customHeight="1" spans="1:3" x14ac:dyDescent="0.25">
      <c r="A14" s="4">
        <v>13</v>
      </c>
      <c r="B14" s="2">
        <f>IF(Assumptions!$B$47&lt;&gt;"","Override",IF(13&lt;=Assumptions!$B$17,"Warranty",IF(13&lt;=Assumptions!$B$17+Assumptions!$B$18,"CMC","AMC")))</f>
      </c>
      <c r="C14" s="3">
        <f>IF(Assumptions!$B$47&lt;&gt;"",Assumptions!$B$47/100*Assumptions!$B$2,IF(13&lt;=Assumptions!$B$17,0,IF(13&lt;=Assumptions!$B$17+Assumptions!$B$18,Assumptions!$B$19,Assumptions!$B$20)))</f>
      </c>
    </row>
  </sheetData>
  <pageMargins left="0.25" right="0.25" top="0.5" bottom="0.5" header="0.2" footer="0.2"/>
  <pageSetup orientation="portrait" horizontalDpi="4294967295" verticalDpi="4294967295" scale="100" fitToWidth="1" fitToHeight="0"/>
  <headerFooter>
    <oddFooter>CapexIQ  • 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6" customWidth="1"/>
    <col min="3" max="3" width="4" customWidth="1"/>
    <col min="4" max="4" width="24" customWidth="1"/>
    <col min="5" max="5" width="26" customWidth="1"/>
  </cols>
  <sheetData>
    <row r="1" ht="34" customHeight="1" spans="1:5" x14ac:dyDescent="0.25">
      <c r="A1" s="8" t="s">
        <v>69</v>
      </c>
      <c r="B1" s="8" t="s">
        <v>71</v>
      </c>
      <c r="C1" s="8"/>
      <c r="D1" s="8" t="s">
        <v>75</v>
      </c>
      <c r="E1" s="8" t="s">
        <v>76</v>
      </c>
    </row>
    <row r="2" ht="19" customHeight="1" spans="1:5" x14ac:dyDescent="0.25">
      <c r="A2" s="4">
        <v>1</v>
      </c>
      <c r="B2" s="3">
        <f>'Annual Summary'!G2</f>
      </c>
      <c r="C2" s="2"/>
      <c r="D2" s="10">
        <f>'Break-even Analysis'!B2</f>
      </c>
      <c r="E2" s="10">
        <f>'Break-even Analysis'!B3</f>
      </c>
    </row>
    <row r="3" ht="19" customHeight="1" spans="1:5" x14ac:dyDescent="0.25">
      <c r="A3" s="4">
        <v>2</v>
      </c>
      <c r="B3" s="3">
        <f>'Annual Summary'!G3</f>
      </c>
      <c r="C3" s="2"/>
      <c r="D3" s="10"/>
      <c r="E3" s="10"/>
    </row>
    <row r="4" ht="19" customHeight="1" spans="1:5" x14ac:dyDescent="0.25">
      <c r="A4" s="4">
        <v>3</v>
      </c>
      <c r="B4" s="3">
        <f>'Annual Summary'!G4</f>
      </c>
      <c r="C4" s="2"/>
      <c r="D4" s="10"/>
      <c r="E4" s="10"/>
    </row>
    <row r="5" ht="19" customHeight="1" spans="1:5" x14ac:dyDescent="0.25">
      <c r="A5" s="4">
        <v>4</v>
      </c>
      <c r="B5" s="3">
        <f>'Annual Summary'!G5</f>
      </c>
      <c r="C5" s="2"/>
      <c r="D5" s="10"/>
      <c r="E5" s="10"/>
    </row>
    <row r="6" ht="19" customHeight="1" spans="1:5" x14ac:dyDescent="0.25">
      <c r="A6" s="4">
        <v>5</v>
      </c>
      <c r="B6" s="3">
        <f>'Annual Summary'!G6</f>
      </c>
      <c r="C6" s="2"/>
      <c r="D6" s="10"/>
      <c r="E6" s="10"/>
    </row>
    <row r="7" ht="19" customHeight="1" spans="1:5" x14ac:dyDescent="0.25">
      <c r="A7" s="4">
        <v>6</v>
      </c>
      <c r="B7" s="3">
        <f>'Annual Summary'!G7</f>
      </c>
      <c r="C7" s="2"/>
      <c r="D7" s="10"/>
      <c r="E7" s="10"/>
    </row>
    <row r="8" ht="19" customHeight="1" spans="1:5" x14ac:dyDescent="0.25">
      <c r="A8" s="4">
        <v>7</v>
      </c>
      <c r="B8" s="3">
        <f>'Annual Summary'!G8</f>
      </c>
      <c r="C8" s="2"/>
      <c r="D8" s="10"/>
      <c r="E8" s="10"/>
    </row>
    <row r="9" ht="19" customHeight="1" spans="1:5" x14ac:dyDescent="0.25">
      <c r="A9" s="4">
        <v>8</v>
      </c>
      <c r="B9" s="3">
        <f>'Annual Summary'!G9</f>
      </c>
      <c r="C9" s="2"/>
      <c r="D9" s="10"/>
      <c r="E9" s="10"/>
    </row>
    <row r="10" ht="19" customHeight="1" spans="1:5" x14ac:dyDescent="0.25">
      <c r="A10" s="4">
        <v>9</v>
      </c>
      <c r="B10" s="3">
        <f>'Annual Summary'!G10</f>
      </c>
      <c r="C10" s="2"/>
      <c r="D10" s="10"/>
      <c r="E10" s="10"/>
    </row>
    <row r="11" ht="19" customHeight="1" spans="1:5" x14ac:dyDescent="0.25">
      <c r="A11" s="4">
        <v>10</v>
      </c>
      <c r="B11" s="3">
        <f>'Annual Summary'!G11</f>
      </c>
      <c r="C11" s="2"/>
      <c r="D11" s="10"/>
      <c r="E11" s="10"/>
    </row>
    <row r="12" ht="19" customHeight="1" spans="1:5" x14ac:dyDescent="0.25">
      <c r="A12" s="4">
        <v>11</v>
      </c>
      <c r="B12" s="3">
        <f>'Annual Summary'!G12</f>
      </c>
      <c r="C12" s="2"/>
      <c r="D12" s="10"/>
      <c r="E12" s="10"/>
    </row>
    <row r="13" ht="19" customHeight="1" spans="1:5" x14ac:dyDescent="0.25">
      <c r="A13" s="4">
        <v>12</v>
      </c>
      <c r="B13" s="3">
        <f>'Annual Summary'!G13</f>
      </c>
      <c r="C13" s="2"/>
      <c r="D13" s="10"/>
      <c r="E13" s="10"/>
    </row>
    <row r="14" ht="19" customHeight="1" spans="1:5" x14ac:dyDescent="0.25">
      <c r="A14" s="4">
        <v>13</v>
      </c>
      <c r="B14" s="3">
        <f>'Annual Summary'!G14</f>
      </c>
      <c r="C14" s="2"/>
      <c r="D14" s="10"/>
      <c r="E14" s="10"/>
    </row>
  </sheetData>
  <pageMargins left="0.25" right="0.25" top="0.5" bottom="0.5" header="0.2" footer="0.2"/>
  <pageSetup orientation="portrait" horizontalDpi="4294967295" verticalDpi="4294967295" scale="100" fitToWidth="1" fitToHeight="0"/>
  <headerFooter>
    <oddFooter>CapexIQ  • 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96" customWidth="1"/>
  </cols>
  <sheetData>
    <row r="1" ht="34" customHeight="1" spans="1:2" x14ac:dyDescent="0.25">
      <c r="A1" s="8" t="s">
        <v>80</v>
      </c>
      <c r="B1" s="8" t="s">
        <v>81</v>
      </c>
    </row>
    <row r="2" ht="42" customHeight="1" spans="1:2" x14ac:dyDescent="0.25">
      <c r="A2" s="2" t="s">
        <v>82</v>
      </c>
      <c r="B2" s="6" t="s">
        <v>83</v>
      </c>
    </row>
    <row r="3" ht="42" customHeight="1" spans="1:2" x14ac:dyDescent="0.25">
      <c r="A3" s="2" t="s">
        <v>37</v>
      </c>
      <c r="B3" s="6" t="s">
        <v>84</v>
      </c>
    </row>
    <row r="4" ht="42" customHeight="1" spans="1:2" x14ac:dyDescent="0.25">
      <c r="A4" s="2" t="s">
        <v>74</v>
      </c>
      <c r="B4" s="6" t="s">
        <v>85</v>
      </c>
    </row>
    <row r="5" ht="42" customHeight="1" spans="1:2" x14ac:dyDescent="0.25">
      <c r="A5" s="2" t="s">
        <v>76</v>
      </c>
      <c r="B5" s="6" t="s">
        <v>86</v>
      </c>
    </row>
    <row r="6" ht="42" customHeight="1" spans="1:2" x14ac:dyDescent="0.25">
      <c r="A6" s="2" t="s">
        <v>87</v>
      </c>
      <c r="B6" s="6" t="s">
        <v>88</v>
      </c>
    </row>
    <row r="7" ht="42" customHeight="1" spans="1:2" x14ac:dyDescent="0.25">
      <c r="A7" s="2" t="s">
        <v>89</v>
      </c>
      <c r="B7" s="6" t="s">
        <v>90</v>
      </c>
    </row>
    <row r="8" ht="42" customHeight="1" spans="1:2" x14ac:dyDescent="0.25">
      <c r="A8" s="2" t="s">
        <v>72</v>
      </c>
      <c r="B8" s="6" t="s">
        <v>91</v>
      </c>
    </row>
    <row r="9" ht="42" customHeight="1" spans="1:2" x14ac:dyDescent="0.25">
      <c r="A9" s="2" t="s">
        <v>73</v>
      </c>
      <c r="B9" s="6" t="s">
        <v>92</v>
      </c>
    </row>
    <row r="10" ht="42" customHeight="1" spans="1:2" x14ac:dyDescent="0.25">
      <c r="A10" s="2" t="s">
        <v>93</v>
      </c>
      <c r="B10" s="6" t="s">
        <v>94</v>
      </c>
    </row>
    <row r="11" ht="42" customHeight="1" spans="1:2" x14ac:dyDescent="0.25">
      <c r="A11" s="6" t="s">
        <v>95</v>
      </c>
      <c r="B11" s="6" t="s">
        <v>96</v>
      </c>
    </row>
  </sheetData>
  <pageMargins left="0.25" right="0.25" top="0.5" bottom="0.5" header="0.2" footer="0.2"/>
  <pageSetup orientation="portrait" horizontalDpi="4294967295" verticalDpi="4294967295" scale="100" fitToWidth="1" fitToHeight="0"/>
  <headerFooter>
    <oddFooter>CapexIQ  • 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Assumptions</vt:lpstr>
      <vt:lpstr>Monthly</vt:lpstr>
      <vt:lpstr>Annual Summary</vt:lpstr>
      <vt:lpstr>Break-even Analysis</vt:lpstr>
      <vt:lpstr>Maintenance Schedule</vt:lpstr>
      <vt:lpstr>Charts</vt:lpstr>
      <vt:lpstr>Formula 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CapexIQ</dc:creator>
  <dc:title/>
  <dc:subject/>
  <dc:description/>
  <cp:keywords/>
  <cp:category/>
  <cp:lastModifiedBy>Unknown</cp:lastModifiedBy>
  <dcterms:created xsi:type="dcterms:W3CDTF">2026-08-27T21:19:31Z</dcterms:created>
  <dcterms:modified xsi:type="dcterms:W3CDTF">2026-08-27T21:19:31Z</dcterms:modified>
</cp:coreProperties>
</file>